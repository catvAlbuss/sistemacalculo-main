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O" sheetId="1" r:id="rId4"/>
    <sheet state="visible" name="ESQUEMAS" sheetId="2" r:id="rId5"/>
    <sheet state="visible" name="Hoja1" sheetId="3" r:id="rId6"/>
  </sheets>
  <definedNames/>
  <calcPr/>
  <extLst>
    <ext uri="GoogleSheetsCustomDataVersion2">
      <go:sheetsCustomData xmlns:go="http://customooxmlschemas.google.com/" r:id="rId7" roundtripDataChecksum="7uU1o8pXBhHXYXFbw9erOIuotdYU30fueBr8uCQi1C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0">
      <text>
        <t xml:space="preserve">======
ID#doco.O8c1YBSfPJl1hShe1c5Crg
user    (2026-10-31 17:07:14)
COEFICIENTE PASIVO</t>
      </text>
    </comment>
    <comment authorId="0" ref="R79">
      <text>
        <t xml:space="preserve">======
ID#doco.vpmYXYpE4ecWf-UiM6Lgag
user    (2026-10-31 17:07:14)
MOMENTO GENERADO DEVIDO  A LA PRESION HORIZONTAL DEL TERRENO</t>
      </text>
    </comment>
    <comment authorId="0" ref="R75">
      <text>
        <t xml:space="preserve">======
ID#doco.s4ct2oO5gQUZ9Bp9NQ-hfQ
user    (2026-10-31 17:07:14)
MOMENTO RESISTENTE VERTICAL TOTAL</t>
      </text>
    </comment>
    <comment authorId="0" ref="A26">
      <text>
        <t xml:space="preserve">======
ID#doco.JQZmR0BJMR69HOqMGyU7Kg
user    (2026-10-31 17:07:14)
ANGULO DEL TALUD</t>
      </text>
    </comment>
    <comment authorId="0" ref="A55">
      <text>
        <t xml:space="preserve">======
ID#doco.-mKMl1bCCAwWliNeHZS0yQ
user    (2026-10-31 17:07:14)
MOMENTO RESISTENTE VERTICAL TOTAL</t>
      </text>
    </comment>
    <comment authorId="0" ref="A22">
      <text>
        <t xml:space="preserve">======
ID#doco.edLk45Fq3BF2y5HmPWhZMQ
user    (2026-10-31 17:07:14)
PESO ESPECIFICO DEL CONCRETO</t>
      </text>
    </comment>
    <comment authorId="0" ref="D55">
      <text>
        <t xml:space="preserve">======
ID#doco.lgbmOzP3B3uR6Wcj4y-REg
user    (2026-10-31 17:07:14)
MOMENTO RESISTENTE VERTICAL TOTAL</t>
      </text>
    </comment>
    <comment authorId="0" ref="A14">
      <text>
        <t xml:space="preserve">======
ID#doco.miFn5Te3F9cGa9aapOK16g
user    (2026-10-31 17:07:14)
10-12</t>
      </text>
    </comment>
    <comment authorId="0" ref="A39">
      <text>
        <t xml:space="preserve">======
ID#doco.Z7rp_Qmf5dajyZa1JOEgkQ
user    (2026-10-31 17:07:14)
CONSIDERAR LA ALTURA DEL KEY</t>
      </text>
    </comment>
    <comment authorId="0" ref="R55">
      <text>
        <t xml:space="preserve">======
ID#doco.302CUlyREKBUEIcpFMjy5g
user    (2026-10-31 17:07:14)
MOMENTO RESISTENTE VERTICAL TOTAL</t>
      </text>
    </comment>
    <comment authorId="0" ref="A35">
      <text>
        <t xml:space="preserve">======
ID#doco.eM4lgPUoIfr_-ToXmU9nKw
user    (2026-10-31 17:07:14)
PRESION DEL TERRENO</t>
      </text>
    </comment>
    <comment authorId="0" ref="A60">
      <text>
        <t xml:space="preserve">======
ID#doco.63liWpi66aoM89mczKuSeQ
user    (2026-10-31 17:07:14)
PESO TOTAL DEL MURO + TERRENO APOYADO</t>
      </text>
    </comment>
    <comment authorId="0" ref="A23">
      <text>
        <t xml:space="preserve">======
ID#doco.ighzzJpf0CqZF6jQpQsxxA
user    (2026-10-31 17:07:14)
PESO ESPECIFICO DEL SUELO</t>
      </text>
    </comment>
    <comment authorId="0" ref="R60">
      <text>
        <t xml:space="preserve">======
ID#doco.xbIUnyZU_nE4uLI9-Wvzgw
user    (2026-10-31 17:07:14)
PESO TOTAL DEL MURO + TERRENO APOYADO</t>
      </text>
    </comment>
    <comment authorId="0" ref="R27">
      <text>
        <t xml:space="preserve">======
ID#doco.b4LsDrg19QTenZ07X8FygA
user    (2026-10-31 17:07:14)
PESO ESPECIFICO DEL SUELO</t>
      </text>
    </comment>
    <comment authorId="0" ref="E73">
      <text>
        <t xml:space="preserve">======
ID#doco.3F7ae8XMcPriXBqSSx6EfA
user    (2026-10-31 17:07:14)
RESULTANTE TOTAL VERTICAL</t>
      </text>
    </comment>
    <comment authorId="0" ref="A36">
      <text>
        <t xml:space="preserve">======
ID#doco.Sm3LLyZ3ihyckb8qt4vCmw
user    (2026-10-31 17:07:14)
PRESION VERTICAL</t>
      </text>
    </comment>
    <comment authorId="0" ref="U56">
      <text>
        <t xml:space="preserve">======
ID#doco.qxFW7ocl9pWLDUCrZJgJ3Q
user    (2026-10-31 17:07:14)
MOMENTO RESISTENTE VERTICAL TOTAL</t>
      </text>
    </comment>
    <comment authorId="0" ref="R19">
      <text>
        <t xml:space="preserve">======
ID#doco.slljJoj3evGJcWfmKoToEA
user    (2026-10-31 17:07:14)
ANGULO DE FRICCION</t>
      </text>
    </comment>
    <comment authorId="0" ref="H73">
      <text>
        <t xml:space="preserve">======
ID#doco.3ivkS0lu27i4VzSB4OhUpQ
user    (2026-10-31 17:07:14)
PRESION PASIVA DEL SUELO(SOLO EL PERALTE DE LA ZAPATA + KEY)</t>
      </text>
    </comment>
    <comment authorId="0" ref="A61">
      <text>
        <t xml:space="preserve">======
ID#doco.avjsmIXNl7tBzN4OZVgb9w
user    (2026-10-31 17:07:14)
PRESION VERTICAL DEL TERRENO</t>
      </text>
    </comment>
    <comment authorId="0" ref="A28">
      <text>
        <t xml:space="preserve">======
ID#doco._w75rZKfwWmAV3lu_HhKEw
user    (2026-10-31 17:07:14)
altura equivalente de terreno</t>
      </text>
    </comment>
    <comment authorId="0" ref="A24">
      <text>
        <t xml:space="preserve">======
ID#doco.DTgcvO4hc17mj8RE6JelWQ
user    (2026-10-31 17:07:14)
ANGULO DE FRICCION</t>
      </text>
    </comment>
    <comment authorId="0" ref="A53">
      <text>
        <t xml:space="preserve">======
ID#doco.iPl3PC1XhTWcnnUAiKcicQ
user    (2026-10-31 17:07:14)
MOMENTO RESISTENTE MURO + TERRENO APOYADO</t>
      </text>
    </comment>
    <comment authorId="0" ref="V73">
      <text>
        <t xml:space="preserve">======
ID#doco.PACLpQnj15zJkBnvcC1k3w
user    (2026-10-31 17:07:14)
RESULTANTE TOTAL VERTICAL</t>
      </text>
    </comment>
    <comment authorId="0" ref="D53">
      <text>
        <t xml:space="preserve">======
ID#doco.NVEuzhWMPrs_EdrXv0Sp8w
user    (2026-10-31 17:07:14)
MOMENTO GENERADO DEVIDO  A LA PRESION HORIZONTAL DEL TERRENO</t>
      </text>
    </comment>
    <comment authorId="0" ref="Y73">
      <text>
        <t xml:space="preserve">======
ID#doco.ISUSyLNMvH3rKnBMOeT3FQ
user    (2026-10-31 17:07:14)
PRESION PASIVA DEL SUELO(SOLO EL PERALTE DE LA ZAPATA + KEY)</t>
      </text>
    </comment>
    <comment authorId="0" ref="A16">
      <text>
        <t xml:space="preserve">======
ID#doco.CCJ7GtXaK08QoKw2F7fk0Q
user    (2026-10-31 17:07:14)
0.40-0.70</t>
      </text>
    </comment>
    <comment authorId="0" ref="A78">
      <text>
        <t xml:space="preserve">======
ID#doco.vGqTLtm85n4M3t62BrkUJw
user    (2026-10-31 17:07:14)
MOMENTO RESISTENTE VERTICAL TOTAL</t>
      </text>
    </comment>
    <comment authorId="0" ref="R61">
      <text>
        <t xml:space="preserve">======
ID#doco.mxKfaVHsRPgd66DRPmalmA
user    (2026-10-31 17:07:14)
PRESION VERTICAL DEL TERRENO</t>
      </text>
    </comment>
    <comment authorId="0" ref="A12">
      <text>
        <t xml:space="preserve">======
ID#doco._-LsAjDpVL7Q1qWsQM9sIw
user    (2026-10-31 17:07:14)
10-12</t>
      </text>
    </comment>
    <comment authorId="0" ref="D78">
      <text>
        <t xml:space="preserve">======
ID#doco.cLDsFDx53aAzOvhzV6Dx7w
user    (2026-10-31 17:07:14)
RESULTANTE TOTAL VERTICAL</t>
      </text>
    </comment>
    <comment authorId="0" ref="A37">
      <text>
        <t xml:space="preserve">======
ID#doco.UPSp8Cf5iMZM77UdeUSzDg
user    (2026-10-31 17:07:14)
PRESION HORIZONTAL</t>
      </text>
    </comment>
    <comment authorId="0" ref="R53">
      <text>
        <t xml:space="preserve">======
ID#doco.9MDGoaY8ypFjKaI0excs-w
user    (2026-10-31 17:07:14)
MOMENTO RESISTENTE MURO + TERRENO APOYADO</t>
      </text>
    </comment>
    <comment authorId="0" ref="H74">
      <text>
        <t xml:space="preserve">======
ID#doco.lEmA9N_8C7_zjwhypSafUQ
user    (2026-10-31 17:07:14)
Pa-Pp</t>
      </text>
    </comment>
    <comment authorId="0" ref="U53">
      <text>
        <t xml:space="preserve">======
ID#doco.RjN3zlbNp5u0Kjbk86X3Sg
user    (2026-10-31 17:07:14)
MOMENTO GENERADO DEVIDO  A LA PRESION HORIZONTAL DEL TERRENO</t>
      </text>
    </comment>
    <comment authorId="0" ref="A62">
      <text>
        <t xml:space="preserve">======
ID#doco.g29M1Rc8gtcWHcMVqf9L0A
user    (2026-10-31 17:07:14)
RESULTANTE TOTAL VERTICAL</t>
      </text>
    </comment>
    <comment authorId="0" ref="R78">
      <text>
        <t xml:space="preserve">======
ID#doco.TamwX48M5RmyeCztMjQBRQ
user    (2026-10-31 17:07:14)
MOMENTO RESISTENTE VERTICAL TOTAL</t>
      </text>
    </comment>
    <comment authorId="0" ref="A29">
      <text>
        <t xml:space="preserve">======
ID#doco.TQHyeH_ANWb6ImkGLeiSlA
user    (2026-10-31 17:07:14)
COEFICCIENTE ACTIVO</t>
      </text>
    </comment>
    <comment authorId="0" ref="U78">
      <text>
        <t xml:space="preserve">======
ID#doco.LyQpT2mZohJqaXjyyJ-Jzg
user    (2026-10-31 17:07:14)
RESULTANTE TOTAL VERTICAL</t>
      </text>
    </comment>
    <comment authorId="0" ref="A25">
      <text>
        <t xml:space="preserve">======
ID#doco.kpcGYRhSKWTHQbSiuoBGGA
user    (2026-10-31 17:07:14)
COHESION</t>
      </text>
    </comment>
    <comment authorId="0" ref="A54">
      <text>
        <t xml:space="preserve">======
ID#doco.ZBVJ-LjPckgdYpc7xtwMYg
user    (2026-10-31 17:07:14)
MOMENTO VERTICAL DEBIDO A LA PRESION VERTICAL</t>
      </text>
    </comment>
    <comment authorId="0" ref="Y74">
      <text>
        <t xml:space="preserve">======
ID#doco.xmJDqluVUX1F-BBklpWn7g
user    (2026-10-31 17:07:14)
Pa-Pp</t>
      </text>
    </comment>
    <comment authorId="0" ref="A79">
      <text>
        <t xml:space="preserve">======
ID#doco.-q2gjvz1Ic0KkfWHq0iMgg
user    (2026-10-31 17:07:14)
MOMENTO GENERADO DEVIDO  A LA PRESION HORIZONTAL DEL TERRENO</t>
      </text>
    </comment>
    <comment authorId="0" ref="R62">
      <text>
        <t xml:space="preserve">======
ID#doco.y6EA2rJjNe4NTBvcw4MA9g
user    (2026-10-31 17:07:14)
RESULTANTE TOTAL VERTICAL</t>
      </text>
    </comment>
    <comment authorId="0" ref="A75">
      <text>
        <t xml:space="preserve">======
ID#doco.Xo4flzdqqTPi7YMvcCIEhA
user    (2026-10-31 17:07:14)
MOMENTO RESISTENTE VERTICAL TOTAL</t>
      </text>
    </comment>
    <comment authorId="0" ref="A9">
      <text>
        <t xml:space="preserve">======
ID#doco.dB6XMVj4l2nf4t6w1UG5WA
user    (2026-10-31 17:07:14)
0.20-0.30</t>
      </text>
    </comment>
    <comment authorId="0" ref="R54">
      <text>
        <t xml:space="preserve">======
ID#doco.FazP-dvUWouSnzyiaIqOeQ
user    (2026-10-31 17:07:14)
MOMENTO VERTICAL DEBIDO A LA PRESION VERTICAL</t>
      </text>
    </comment>
    <comment authorId="0" ref="R21">
      <text>
        <t xml:space="preserve">======
ID#doco.8iZ06ZO9akCY_mbdtuiC_Q
user    (2026-10-31 17:07:14)
ANGULO DEL TALUD</t>
      </text>
    </comment>
    <comment authorId="0" ref="A34">
      <text>
        <t xml:space="preserve">======
ID#doco.SOOc8QJkIa5vZaCStZDxDQ
user    (2026-10-31 17:07:14)
ESFUERZO MAXIMO DEL TERRENO</t>
      </text>
    </comment>
  </commentList>
  <extLst>
    <ext uri="GoogleSheetsCustomDataVersion2">
      <go:sheetsCustomData xmlns:go="http://customooxmlschemas.google.com/" r:id="rId1" roundtripDataSignature="AMtx7mj0WkLZrO4MxGnEcf5zBINQkcQCP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======
ID#doco.nNcJihHs76j5Nzv1SvBdSA
user    (2026-10-31 17:07:14)
COHESION</t>
      </text>
    </comment>
    <comment authorId="0" ref="A63">
      <text>
        <t xml:space="preserve">======
ID#doco.coxOGkE_LtBfUlcntnbIIg
user    (2026-10-31 17:07:14)
PRESION HORIZONTAL</t>
      </text>
    </comment>
    <comment authorId="0" ref="A30">
      <text>
        <t xml:space="preserve">======
ID#doco.NMSh5aM4KC5YpP8DMPnIEA
user    (2026-10-31 17:07:14)
PESO ESPECIFICO DEL SUELO</t>
      </text>
    </comment>
    <comment authorId="0" ref="A61">
      <text>
        <t xml:space="preserve">======
ID#doco.WVXCKYl8ou8MCmNkpDioBw
user    (2026-10-31 17:07:14)
PRESION DEL TERRENO</t>
      </text>
    </comment>
    <comment authorId="0" ref="R7">
      <text>
        <t xml:space="preserve">======
ID#doco._Lx0N9OjiEvpl37HJZa06w
user    (2026-10-31 17:07:14)
PESO ESPECIFICO DEL SUELO</t>
      </text>
    </comment>
    <comment authorId="0" ref="R1">
      <text>
        <t xml:space="preserve">======
ID#doco.I-SsR0pBaZ1u9U3_n_pdNw
user    (2026-10-31 17:07:14)
ANGULO DEL TALUD</t>
      </text>
    </comment>
    <comment authorId="0" ref="AC40">
      <text>
        <t xml:space="preserve">======
ID#doco.0RCTb4y74GpuvVn-q8S5TQ
user    (2026-10-31 17:07:14)
COEFICIENTE PASIVO</t>
      </text>
    </comment>
    <comment authorId="0" ref="AC38">
      <text>
        <t xml:space="preserve">======
ID#doco.cqqycja5HRNyt_IohEEsVw
user    (2026-10-31 17:07:14)
altura equivalente de terreno</t>
      </text>
    </comment>
    <comment authorId="0" ref="AC36">
      <text>
        <t xml:space="preserve">======
ID#doco.ZEw3L0XKfy-aOddWevE-FQ
user    (2026-10-31 17:07:14)
ANGULO DEL TALUD</t>
      </text>
    </comment>
    <comment authorId="0" ref="A39">
      <text>
        <t xml:space="preserve">======
ID#doco._7FlQmLSaavOUO67QA2eJA
ERICK    (2026-10-31 17:07:14)
angulo del muro interior</t>
      </text>
    </comment>
    <comment authorId="0" ref="AC34">
      <text>
        <t xml:space="preserve">======
ID#doco.eh_ZkhLSJEgnRSlyOmK5Gw
user    (2026-10-31 17:07:14)
ANGULO DE FRICCION</t>
      </text>
    </comment>
    <comment authorId="0" ref="A37">
      <text>
        <t xml:space="preserve">======
ID#doco.M4qwjhHCIhv60fJ-S3bc6Q
user    (2026-10-31 17:07:14)
COEFICIENTE PASIVO</t>
      </text>
    </comment>
    <comment authorId="0" ref="AC32">
      <text>
        <t xml:space="preserve">======
ID#doco.MRwSX9dVbvX09zTouWhJnA
user    (2026-10-31 17:07:14)
PESO ESPECIFICO DEL CONCRETO</t>
      </text>
    </comment>
    <comment authorId="0" ref="A35">
      <text>
        <t xml:space="preserve">======
ID#doco.zQJGHhWe6uIJq-mwUziDzw
user    (2026-10-31 17:07:14)
altura equivalente de terreno</t>
      </text>
    </comment>
    <comment authorId="0" ref="A33">
      <text>
        <t xml:space="preserve">======
ID#doco.tfGTQCNwZo4Y-ji8sPQIHQ
user    (2026-10-31 17:07:14)
ANGULO DEL TALUD</t>
      </text>
    </comment>
    <comment authorId="0" ref="A31">
      <text>
        <t xml:space="preserve">======
ID#doco._AnXm7S3gQBQVNOAnn3ERg
user    (2026-10-31 17:07:14)
ANGULO DE FRICCION</t>
      </text>
    </comment>
    <comment authorId="0" ref="A62">
      <text>
        <t xml:space="preserve">======
ID#doco.VasTCmB5UABGPpq0EWqseA
user    (2026-10-31 17:07:14)
PRESION VERTICAL</t>
      </text>
    </comment>
    <comment authorId="0" ref="A29">
      <text>
        <t xml:space="preserve">======
ID#doco.rDeWOHTHY7HfUPEsrmV_Tg
user    (2026-10-31 17:07:14)
PESO ESPECIFICO DEL CONCRETO</t>
      </text>
    </comment>
    <comment authorId="0" ref="A60">
      <text>
        <t xml:space="preserve">======
ID#doco.xgYRw1zJCwU0OC8c4ejoLQ
user    (2026-10-31 17:07:14)
ESFUERZO MAXIMO DEL TERRENO</t>
      </text>
    </comment>
    <comment authorId="0" ref="A19">
      <text>
        <t xml:space="preserve">======
ID#doco.fjpNWRRYQl1ict--7acCaw
user    (2026-10-31 17:07:14)
CONSIDERAR LA ALTURA DEL KEY</t>
      </text>
    </comment>
    <comment authorId="0" ref="AC39">
      <text>
        <t xml:space="preserve">======
ID#doco.9ds2FRxYLrOponP4eSt-OA
user    (2026-10-31 17:07:14)
COEFICCIENTE ACTIVO</t>
      </text>
    </comment>
    <comment authorId="0" ref="A40">
      <text>
        <t xml:space="preserve">======
ID#doco.2urSXb5bpeHa7w20Ng5_aw
    (2026-10-31 17:07:14)
angulo de friccion entre el suelo y el muro: fi/2 - 2fi/3</t>
      </text>
    </comment>
    <comment authorId="0" ref="AC35">
      <text>
        <t xml:space="preserve">======
ID#doco.BplPIBdLaiRJP2QhrrBwCg
user    (2026-10-31 17:07:14)
COHESION</t>
      </text>
    </comment>
    <comment authorId="0" ref="AC33">
      <text>
        <t xml:space="preserve">======
ID#doco.DUZXSVyoFSlLt6EkXZq0RA
user    (2026-10-31 17:07:14)
PESO ESPECIFICO DEL SUELO</t>
      </text>
    </comment>
    <comment authorId="0" ref="A36">
      <text>
        <t xml:space="preserve">======
ID#doco.HNmzaCuWlAMnthrqfU_Tkg
user    (2026-10-31 17:07:14)
COEFICCIENTE ACTIVO</t>
      </text>
    </comment>
  </commentList>
  <extLst>
    <ext uri="GoogleSheetsCustomDataVersion2">
      <go:sheetsCustomData xmlns:go="http://customooxmlschemas.google.com/" r:id="rId1" roundtripDataSignature="AMtx7mjlXibWVMBjXcJTkPQ2p8Zh28e/Qg=="/>
    </ext>
  </extLst>
</comments>
</file>

<file path=xl/sharedStrings.xml><?xml version="1.0" encoding="utf-8"?>
<sst xmlns="http://schemas.openxmlformats.org/spreadsheetml/2006/main" count="1189" uniqueCount="360">
  <si>
    <t>S/C=</t>
  </si>
  <si>
    <t>SECCION DEL MURO DE CONTENCIÓN</t>
  </si>
  <si>
    <t xml:space="preserve">CARGAS ACTUANTES </t>
  </si>
  <si>
    <t>DIAGRAMA DE MOMENTOS FLECTORES</t>
  </si>
  <si>
    <t>DIAGRAMA DE FUERZAS CORTANTES</t>
  </si>
  <si>
    <t>DISTRIBUCION DEL REFUERZO</t>
  </si>
  <si>
    <t>ACERO DE REFUERZO</t>
  </si>
  <si>
    <t>UNIDAD: m</t>
  </si>
  <si>
    <t>UNIDAD: Tn/m</t>
  </si>
  <si>
    <t>UNIDAD: Tn-m</t>
  </si>
  <si>
    <t>UNIDAD: Tn</t>
  </si>
  <si>
    <r>
      <rPr>
        <rFont val="Arial Narrow"/>
        <b/>
        <color theme="1"/>
        <sz val="14.0"/>
      </rPr>
      <t>UNIDAD: cm</t>
    </r>
    <r>
      <rPr>
        <rFont val="Arial Narrow"/>
        <b/>
        <color theme="1"/>
        <sz val="14.0"/>
        <vertAlign val="superscript"/>
      </rPr>
      <t>2</t>
    </r>
  </si>
  <si>
    <t>SI</t>
  </si>
  <si>
    <t>Ø</t>
  </si>
  <si>
    <t>@</t>
  </si>
  <si>
    <t>NO</t>
  </si>
  <si>
    <t>PANTALLA</t>
  </si>
  <si>
    <t>2. PRESION DEL SUELO</t>
  </si>
  <si>
    <t>RANKINE</t>
  </si>
  <si>
    <t>COULUMB</t>
  </si>
  <si>
    <t>Ka</t>
  </si>
  <si>
    <t>Kp</t>
  </si>
  <si>
    <r>
      <rPr>
        <rFont val="GreekC"/>
        <b/>
        <i val="0"/>
        <color theme="1"/>
        <sz val="11.0"/>
      </rPr>
      <t>g</t>
    </r>
    <r>
      <rPr>
        <rFont val="Arial Narrow"/>
        <b/>
        <i/>
        <color theme="1"/>
        <sz val="11.0"/>
      </rPr>
      <t>c=</t>
    </r>
  </si>
  <si>
    <t>Tn/m3</t>
  </si>
  <si>
    <r>
      <rPr>
        <rFont val="Arial Narrow"/>
        <color theme="1"/>
        <sz val="11.0"/>
      </rPr>
      <t>seno (</t>
    </r>
    <r>
      <rPr>
        <rFont val="GreekC"/>
        <color theme="1"/>
        <sz val="11.0"/>
      </rPr>
      <t>a+</t>
    </r>
    <r>
      <rPr>
        <rFont val="Calibri"/>
        <color theme="1"/>
        <sz val="11.0"/>
      </rPr>
      <t>Ø)</t>
    </r>
  </si>
  <si>
    <r>
      <rPr>
        <rFont val="GreekC"/>
        <b/>
        <i val="0"/>
        <color theme="1"/>
        <sz val="11.0"/>
      </rPr>
      <t>g</t>
    </r>
    <r>
      <rPr>
        <rFont val="Arial Narrow"/>
        <b/>
        <i/>
        <color theme="1"/>
        <sz val="11.0"/>
      </rPr>
      <t>s=</t>
    </r>
  </si>
  <si>
    <t>cosΦ</t>
  </si>
  <si>
    <r>
      <rPr>
        <rFont val="Arial Narrow"/>
        <b/>
        <color theme="1"/>
        <sz val="11.0"/>
      </rPr>
      <t>seno (</t>
    </r>
    <r>
      <rPr>
        <rFont val="GreekC"/>
        <b/>
        <color theme="1"/>
        <sz val="11.0"/>
      </rPr>
      <t>a-</t>
    </r>
    <r>
      <rPr>
        <rFont val="Calibri"/>
        <b/>
        <color theme="1"/>
        <sz val="11.0"/>
      </rPr>
      <t>Ø)</t>
    </r>
  </si>
  <si>
    <t>MUROS DE CONTENCION</t>
  </si>
  <si>
    <t>PUNTA</t>
  </si>
  <si>
    <r>
      <rPr>
        <rFont val="Arial Narrow"/>
        <b/>
        <i val="0"/>
        <color theme="1"/>
        <sz val="11.0"/>
      </rPr>
      <t>Ø</t>
    </r>
    <r>
      <rPr>
        <rFont val="Arial Narrow"/>
        <b/>
        <i/>
        <color theme="1"/>
        <sz val="11.0"/>
      </rPr>
      <t>=</t>
    </r>
  </si>
  <si>
    <t>°</t>
  </si>
  <si>
    <t>Rad</t>
  </si>
  <si>
    <r>
      <rPr>
        <rFont val="Gisha"/>
        <b/>
        <color theme="1"/>
        <sz val="11.0"/>
      </rPr>
      <t>cos</t>
    </r>
    <r>
      <rPr>
        <rFont val="GreekC"/>
        <b/>
        <color theme="1"/>
        <sz val="11.0"/>
      </rPr>
      <t>d</t>
    </r>
  </si>
  <si>
    <r>
      <rPr>
        <rFont val="Arial Narrow"/>
        <color theme="1"/>
        <sz val="11.0"/>
      </rPr>
      <t>seno (</t>
    </r>
    <r>
      <rPr>
        <rFont val="GreekC"/>
        <color theme="1"/>
        <sz val="11.0"/>
      </rPr>
      <t>a)</t>
    </r>
  </si>
  <si>
    <t>TALON</t>
  </si>
  <si>
    <t>DATOS:</t>
  </si>
  <si>
    <t>α RAD</t>
  </si>
  <si>
    <t>RECORTE DE ACERO PANTALLA:</t>
  </si>
  <si>
    <r>
      <rPr>
        <rFont val="GreekS"/>
        <b/>
        <i val="0"/>
        <color theme="1"/>
        <sz val="11.0"/>
      </rPr>
      <t>z</t>
    </r>
    <r>
      <rPr>
        <rFont val="Arial Narrow"/>
        <b/>
        <i/>
        <color theme="1"/>
        <sz val="11.0"/>
      </rPr>
      <t>=</t>
    </r>
  </si>
  <si>
    <r>
      <rPr>
        <rFont val="Microsoft Sans Serif"/>
        <b/>
        <color theme="1"/>
        <sz val="11.0"/>
      </rPr>
      <t>cosΦ</t>
    </r>
    <r>
      <rPr>
        <rFont val="Arial Narrow"/>
        <b/>
        <color theme="1"/>
        <sz val="11.0"/>
      </rPr>
      <t>2</t>
    </r>
  </si>
  <si>
    <t>H=</t>
  </si>
  <si>
    <t>m</t>
  </si>
  <si>
    <r>
      <rPr>
        <rFont val="Arial Narrow"/>
        <color theme="1"/>
        <sz val="11.0"/>
      </rPr>
      <t>seno (</t>
    </r>
    <r>
      <rPr>
        <rFont val="GreekC"/>
        <color theme="1"/>
        <sz val="11.0"/>
      </rPr>
      <t>a-d</t>
    </r>
    <r>
      <rPr>
        <rFont val="Calibri"/>
        <color theme="1"/>
        <sz val="11.0"/>
      </rPr>
      <t>)</t>
    </r>
  </si>
  <si>
    <r>
      <rPr>
        <rFont val="GreekC"/>
        <b/>
        <i val="0"/>
        <color theme="1"/>
        <sz val="11.0"/>
      </rPr>
      <t>g</t>
    </r>
    <r>
      <rPr>
        <rFont val="Arial Narrow"/>
        <b/>
        <i/>
        <color theme="1"/>
        <sz val="11.0"/>
      </rPr>
      <t>c=</t>
    </r>
  </si>
  <si>
    <t>Ø RAD</t>
  </si>
  <si>
    <t>b=</t>
  </si>
  <si>
    <r>
      <rPr>
        <rFont val="GreekC"/>
        <b/>
        <i val="0"/>
        <color theme="1"/>
        <sz val="11.0"/>
      </rPr>
      <t>s</t>
    </r>
    <r>
      <rPr>
        <rFont val="Arial Narrow"/>
        <b/>
        <i/>
        <color theme="1"/>
        <sz val="11.0"/>
        <vertAlign val="subscript"/>
      </rPr>
      <t>ADM</t>
    </r>
    <r>
      <rPr>
        <rFont val="Arial Narrow"/>
        <b/>
        <i/>
        <color theme="1"/>
        <sz val="11.0"/>
      </rPr>
      <t>=</t>
    </r>
  </si>
  <si>
    <t>Tn/m2</t>
  </si>
  <si>
    <t>h=</t>
  </si>
  <si>
    <r>
      <rPr>
        <rFont val="Gisha"/>
        <b/>
        <color theme="1"/>
        <sz val="11.0"/>
      </rPr>
      <t>cos</t>
    </r>
    <r>
      <rPr>
        <rFont val="GreekC"/>
        <b/>
        <color theme="1"/>
        <sz val="11.0"/>
      </rPr>
      <t>d</t>
    </r>
    <r>
      <rPr>
        <rFont val="Arial Narrow"/>
        <b/>
        <color theme="1"/>
        <sz val="11.0"/>
      </rPr>
      <t>2</t>
    </r>
  </si>
  <si>
    <r>
      <rPr>
        <rFont val="Arial Narrow"/>
        <b/>
        <color theme="1"/>
        <sz val="11.0"/>
      </rPr>
      <t>seno (</t>
    </r>
    <r>
      <rPr>
        <rFont val="GreekC"/>
        <b/>
        <color theme="1"/>
        <sz val="11.0"/>
      </rPr>
      <t>a+d</t>
    </r>
    <r>
      <rPr>
        <rFont val="Calibri"/>
        <b/>
        <color theme="1"/>
        <sz val="11.0"/>
      </rPr>
      <t>)</t>
    </r>
  </si>
  <si>
    <r>
      <rPr>
        <rFont val="GreekC"/>
        <b/>
        <i val="0"/>
        <color theme="1"/>
        <sz val="11.0"/>
      </rPr>
      <t>g</t>
    </r>
    <r>
      <rPr>
        <rFont val="Arial Narrow"/>
        <b/>
        <i/>
        <color theme="1"/>
        <sz val="11.0"/>
      </rPr>
      <t>s=</t>
    </r>
  </si>
  <si>
    <t>ZONA</t>
  </si>
  <si>
    <t>Z(g)</t>
  </si>
  <si>
    <t>1. PREDIMENSIONAMIENTO</t>
  </si>
  <si>
    <t>DIENTE</t>
  </si>
  <si>
    <r>
      <rPr>
        <rFont val="Arial Narrow"/>
        <color theme="1"/>
        <sz val="11.0"/>
      </rPr>
      <t>seno (</t>
    </r>
    <r>
      <rPr>
        <rFont val="Calibri"/>
        <color theme="1"/>
        <sz val="11.0"/>
      </rPr>
      <t>Ø+</t>
    </r>
    <r>
      <rPr>
        <rFont val="GreekC"/>
        <color theme="1"/>
        <sz val="11.0"/>
      </rPr>
      <t>d</t>
    </r>
    <r>
      <rPr>
        <rFont val="Calibri"/>
        <color theme="1"/>
        <sz val="11.0"/>
      </rPr>
      <t>)</t>
    </r>
  </si>
  <si>
    <r>
      <rPr>
        <rFont val="Arial Narrow"/>
        <b/>
        <i val="0"/>
        <color theme="1"/>
        <sz val="11.0"/>
      </rPr>
      <t>Ø</t>
    </r>
    <r>
      <rPr>
        <rFont val="Arial Narrow"/>
        <b/>
        <i/>
        <color theme="1"/>
        <sz val="11.0"/>
      </rPr>
      <t>=</t>
    </r>
  </si>
  <si>
    <t>Cah=</t>
  </si>
  <si>
    <t>PUNTA=</t>
  </si>
  <si>
    <t>H</t>
  </si>
  <si>
    <t>USAR UN PEDESTAL:</t>
  </si>
  <si>
    <t>hs=</t>
  </si>
  <si>
    <t>BASE DE LA PANTALLA</t>
  </si>
  <si>
    <t>L=</t>
  </si>
  <si>
    <r>
      <rPr>
        <rFont val="Arial Narrow"/>
        <color theme="1"/>
        <sz val="11.0"/>
      </rPr>
      <t>seno (</t>
    </r>
    <r>
      <rPr>
        <rFont val="Calibri"/>
        <color theme="1"/>
        <sz val="11.0"/>
      </rPr>
      <t>Ø-β)</t>
    </r>
  </si>
  <si>
    <r>
      <rPr>
        <rFont val="GreekS"/>
        <b/>
        <i val="0"/>
        <color theme="1"/>
        <sz val="11.0"/>
      </rPr>
      <t>z</t>
    </r>
    <r>
      <rPr>
        <rFont val="Arial Narrow"/>
        <b/>
        <i/>
        <color theme="1"/>
        <sz val="11.0"/>
      </rPr>
      <t>=</t>
    </r>
  </si>
  <si>
    <t>MONONOBE-OKABE</t>
  </si>
  <si>
    <t>0.3Kh</t>
  </si>
  <si>
    <t>Cph=</t>
  </si>
  <si>
    <t>K=</t>
  </si>
  <si>
    <t>ZONA:</t>
  </si>
  <si>
    <t>h'=</t>
  </si>
  <si>
    <t>cm</t>
  </si>
  <si>
    <t>Ka=</t>
  </si>
  <si>
    <t>0.35Kh</t>
  </si>
  <si>
    <t>PERALTE DE LA ZAPATA</t>
  </si>
  <si>
    <t>Kh=</t>
  </si>
  <si>
    <r>
      <rPr>
        <rFont val="Arial Narrow"/>
        <b/>
        <color theme="1"/>
        <sz val="11.0"/>
      </rPr>
      <t>seno (</t>
    </r>
    <r>
      <rPr>
        <rFont val="Calibri"/>
        <b/>
        <color theme="1"/>
        <sz val="11.0"/>
      </rPr>
      <t>Ø+β)</t>
    </r>
  </si>
  <si>
    <t>0.4Kh</t>
  </si>
  <si>
    <r>
      <rPr>
        <rFont val="GreekC"/>
        <b/>
        <i val="0"/>
        <color theme="1"/>
        <sz val="11.0"/>
      </rPr>
      <t>d</t>
    </r>
    <r>
      <rPr>
        <rFont val="Arial Narrow"/>
        <b/>
        <i/>
        <color theme="1"/>
        <sz val="11.0"/>
      </rPr>
      <t>=</t>
    </r>
  </si>
  <si>
    <t>RECORTE DE ACERO TALON:</t>
  </si>
  <si>
    <t>Kv esta en el rango de 0.3-0.6 Kh</t>
  </si>
  <si>
    <t>Kp=</t>
  </si>
  <si>
    <t>0.45Kh</t>
  </si>
  <si>
    <r>
      <rPr>
        <rFont val="Arial Narrow"/>
        <color theme="1"/>
        <sz val="11.0"/>
      </rPr>
      <t>seno (</t>
    </r>
    <r>
      <rPr>
        <rFont val="GreekC"/>
        <color theme="1"/>
        <sz val="11.0"/>
      </rPr>
      <t>a+β</t>
    </r>
    <r>
      <rPr>
        <rFont val="Calibri"/>
        <color theme="1"/>
        <sz val="11.0"/>
      </rPr>
      <t>)</t>
    </r>
  </si>
  <si>
    <t>ANCHO DE LA ZAPATA</t>
  </si>
  <si>
    <t>Kv=</t>
  </si>
  <si>
    <t>L1=</t>
  </si>
  <si>
    <t>0.5Kh</t>
  </si>
  <si>
    <r>
      <rPr>
        <rFont val="GreekC"/>
        <color theme="1"/>
        <sz val="11.0"/>
      </rPr>
      <t>a</t>
    </r>
    <r>
      <rPr>
        <rFont val="Calibri"/>
        <color theme="1"/>
        <sz val="14.0"/>
      </rPr>
      <t>=</t>
    </r>
  </si>
  <si>
    <t>RAD</t>
  </si>
  <si>
    <r>
      <rPr>
        <rFont val="GreekC"/>
        <b/>
        <i val="0"/>
        <color theme="1"/>
        <sz val="11.0"/>
      </rPr>
      <t>d</t>
    </r>
    <r>
      <rPr>
        <rFont val="Arial Narrow"/>
        <b/>
        <i/>
        <color theme="1"/>
        <sz val="11.0"/>
      </rPr>
      <t>=</t>
    </r>
  </si>
  <si>
    <t>Θ=</t>
  </si>
  <si>
    <t>Ø=</t>
  </si>
  <si>
    <t>SUELO</t>
  </si>
  <si>
    <t>BETA</t>
  </si>
  <si>
    <t>ANGULO VASTAGO</t>
  </si>
  <si>
    <t>d=</t>
  </si>
  <si>
    <t>ANGULO DE FRICCION</t>
  </si>
  <si>
    <r>
      <rPr>
        <rFont val="GreekC"/>
        <b/>
        <i val="0"/>
        <color theme="1"/>
        <sz val="11.0"/>
      </rPr>
      <t>g</t>
    </r>
    <r>
      <rPr>
        <rFont val="Arial Narrow"/>
        <b/>
        <i/>
        <color theme="1"/>
        <sz val="11.0"/>
      </rPr>
      <t>c=</t>
    </r>
  </si>
  <si>
    <t>I=</t>
  </si>
  <si>
    <t>ANGULO DEL TALUD</t>
  </si>
  <si>
    <r>
      <rPr>
        <rFont val="GreekC"/>
        <b/>
        <i val="0"/>
        <color theme="1"/>
        <sz val="11.0"/>
      </rPr>
      <t>g</t>
    </r>
    <r>
      <rPr>
        <rFont val="Arial Narrow"/>
        <b/>
        <i/>
        <color theme="1"/>
        <sz val="11.0"/>
      </rPr>
      <t>s=</t>
    </r>
  </si>
  <si>
    <r>
      <rPr>
        <rFont val="Arial Narrow"/>
        <b/>
        <i val="0"/>
        <color theme="1"/>
        <sz val="11.0"/>
      </rPr>
      <t>Ø</t>
    </r>
    <r>
      <rPr>
        <rFont val="Arial Narrow"/>
        <b/>
        <i/>
        <color theme="1"/>
        <sz val="11.0"/>
      </rPr>
      <t>=</t>
    </r>
  </si>
  <si>
    <r>
      <rPr>
        <rFont val="GreekS"/>
        <b/>
        <color theme="1"/>
        <sz val="11.0"/>
      </rPr>
      <t>y</t>
    </r>
    <r>
      <rPr>
        <rFont val="Calibri"/>
        <b/>
        <color theme="1"/>
        <sz val="11.0"/>
      </rPr>
      <t>=</t>
    </r>
  </si>
  <si>
    <r>
      <rPr>
        <rFont val="GreekS"/>
        <b/>
        <i val="0"/>
        <color theme="1"/>
        <sz val="11.0"/>
      </rPr>
      <t>z</t>
    </r>
    <r>
      <rPr>
        <rFont val="Arial Narrow"/>
        <b/>
        <i/>
        <color theme="1"/>
        <sz val="11.0"/>
      </rPr>
      <t>=</t>
    </r>
  </si>
  <si>
    <r>
      <rPr>
        <rFont val="Arial Narrow"/>
        <b/>
        <i/>
        <color theme="1"/>
        <sz val="14.0"/>
      </rPr>
      <t>K</t>
    </r>
    <r>
      <rPr>
        <rFont val="Arial Narrow"/>
        <b/>
        <i/>
        <color theme="1"/>
        <sz val="14.0"/>
        <vertAlign val="subscript"/>
      </rPr>
      <t>AE</t>
    </r>
    <r>
      <rPr>
        <rFont val="Arial Narrow"/>
        <b/>
        <i/>
        <color theme="1"/>
        <sz val="14.0"/>
      </rPr>
      <t>=</t>
    </r>
  </si>
  <si>
    <r>
      <rPr>
        <rFont val="GreekC"/>
        <b/>
        <i val="0"/>
        <color theme="1"/>
        <sz val="11.0"/>
      </rPr>
      <t>d</t>
    </r>
    <r>
      <rPr>
        <rFont val="Arial Narrow"/>
        <b/>
        <i/>
        <color theme="1"/>
        <sz val="11.0"/>
      </rPr>
      <t>=</t>
    </r>
  </si>
  <si>
    <r>
      <rPr>
        <rFont val="GreekC"/>
        <b/>
        <i/>
        <color theme="1"/>
        <sz val="11.0"/>
      </rPr>
      <t>g</t>
    </r>
    <r>
      <rPr>
        <rFont val="Arial Narrow"/>
        <b/>
        <i/>
        <color theme="1"/>
        <sz val="11.0"/>
      </rPr>
      <t>s=</t>
    </r>
  </si>
  <si>
    <r>
      <rPr>
        <rFont val="Gisha"/>
        <b/>
        <color rgb="FF3F3F3F"/>
        <sz val="11.0"/>
      </rPr>
      <t>cos</t>
    </r>
    <r>
      <rPr>
        <rFont val="GreekC"/>
        <b/>
        <color rgb="FF3F3F3F"/>
        <sz val="11.0"/>
      </rPr>
      <t>d</t>
    </r>
  </si>
  <si>
    <r>
      <rPr>
        <rFont val="Microsoft Sans Serif"/>
        <b/>
        <color rgb="FF3F3F3F"/>
        <sz val="11.0"/>
      </rPr>
      <t>cosΦ</t>
    </r>
    <r>
      <rPr>
        <rFont val="Arial Narrow"/>
        <b/>
        <color rgb="FF3F3F3F"/>
        <sz val="11.0"/>
      </rPr>
      <t>2</t>
    </r>
  </si>
  <si>
    <r>
      <rPr>
        <rFont val="Gisha"/>
        <b/>
        <color rgb="FF3F3F3F"/>
        <sz val="11.0"/>
      </rPr>
      <t>cos</t>
    </r>
    <r>
      <rPr>
        <rFont val="GreekC"/>
        <b/>
        <color rgb="FF3F3F3F"/>
        <sz val="11.0"/>
      </rPr>
      <t>d</t>
    </r>
    <r>
      <rPr>
        <rFont val="Arial Narrow"/>
        <b/>
        <color rgb="FF3F3F3F"/>
        <sz val="11.0"/>
      </rPr>
      <t>2</t>
    </r>
  </si>
  <si>
    <t>Ko=</t>
  </si>
  <si>
    <r>
      <rPr>
        <rFont val="Arial Narrow"/>
        <b/>
        <i/>
        <color theme="1"/>
        <sz val="14.0"/>
      </rPr>
      <t>E</t>
    </r>
    <r>
      <rPr>
        <rFont val="Arial Narrow"/>
        <b/>
        <i/>
        <color theme="1"/>
        <sz val="14.0"/>
        <vertAlign val="subscript"/>
      </rPr>
      <t>AE</t>
    </r>
    <r>
      <rPr>
        <rFont val="Arial Narrow"/>
        <b/>
        <i/>
        <color theme="1"/>
        <sz val="14.0"/>
      </rPr>
      <t>=</t>
    </r>
  </si>
  <si>
    <t>Tn</t>
  </si>
  <si>
    <t>S/C</t>
  </si>
  <si>
    <t>TOTAL</t>
  </si>
  <si>
    <t>Kah=</t>
  </si>
  <si>
    <t>KA</t>
  </si>
  <si>
    <r>
      <rPr>
        <rFont val="GreekC"/>
        <b/>
        <i val="0"/>
        <color theme="1"/>
        <sz val="11.0"/>
      </rPr>
      <t>s</t>
    </r>
    <r>
      <rPr>
        <rFont val="Arial Narrow"/>
        <b/>
        <i/>
        <color theme="1"/>
        <sz val="11.0"/>
        <vertAlign val="subscript"/>
      </rPr>
      <t>MAX</t>
    </r>
    <r>
      <rPr>
        <rFont val="Arial Narrow"/>
        <b/>
        <i/>
        <color theme="1"/>
        <sz val="11.0"/>
      </rPr>
      <t>=</t>
    </r>
  </si>
  <si>
    <t>P=</t>
  </si>
  <si>
    <t>Ea=</t>
  </si>
  <si>
    <t>Pv=</t>
  </si>
  <si>
    <t>Ph=</t>
  </si>
  <si>
    <r>
      <rPr>
        <rFont val="GreekC"/>
        <b/>
        <i val="0"/>
        <color theme="1"/>
        <sz val="11.0"/>
      </rPr>
      <t>D</t>
    </r>
    <r>
      <rPr>
        <rFont val="Arial Narrow"/>
        <b/>
        <i/>
        <color theme="1"/>
        <sz val="11.0"/>
      </rPr>
      <t>E</t>
    </r>
    <r>
      <rPr>
        <rFont val="Arial Narrow"/>
        <b/>
        <i/>
        <color theme="1"/>
        <sz val="11.0"/>
        <vertAlign val="subscript"/>
      </rPr>
      <t>AE</t>
    </r>
    <r>
      <rPr>
        <rFont val="Arial Narrow"/>
        <b/>
        <i/>
        <color theme="1"/>
        <sz val="11.0"/>
      </rPr>
      <t>=</t>
    </r>
  </si>
  <si>
    <t>Fuerza Horizontal</t>
  </si>
  <si>
    <t>POSICION</t>
  </si>
  <si>
    <t>CONSIDERARMOS?</t>
  </si>
  <si>
    <t>0.6H=</t>
  </si>
  <si>
    <r>
      <rPr>
        <rFont val="Arial Narrow"/>
        <b/>
        <i/>
        <color theme="1"/>
        <sz val="11.0"/>
      </rPr>
      <t>M</t>
    </r>
    <r>
      <rPr>
        <rFont val="Arial Narrow"/>
        <b/>
        <i/>
        <color theme="1"/>
        <sz val="11.0"/>
        <vertAlign val="subscript"/>
      </rPr>
      <t>AE</t>
    </r>
    <r>
      <rPr>
        <rFont val="Arial Narrow"/>
        <b/>
        <i/>
        <color theme="1"/>
        <sz val="11.0"/>
      </rPr>
      <t>=</t>
    </r>
  </si>
  <si>
    <t>Tn-m</t>
  </si>
  <si>
    <t>Momento</t>
  </si>
  <si>
    <t>3. VERIFICACIONES</t>
  </si>
  <si>
    <t>MODIFICAR DIMENSIONES</t>
  </si>
  <si>
    <t>VERIFICACIONES SIN  EFECTOS SISMICOS</t>
  </si>
  <si>
    <t>VERIFICACIONES CON EFECTOS SISMICOS</t>
  </si>
  <si>
    <t>COMPONENTE</t>
  </si>
  <si>
    <r>
      <rPr>
        <rFont val="Arial Narrow"/>
        <b/>
        <i/>
        <color theme="1"/>
        <sz val="10.0"/>
      </rPr>
      <t>AREA(m</t>
    </r>
    <r>
      <rPr>
        <rFont val="Arial Narrow"/>
        <b/>
        <i/>
        <color theme="1"/>
        <sz val="10.0"/>
        <vertAlign val="superscript"/>
      </rPr>
      <t>2</t>
    </r>
    <r>
      <rPr>
        <rFont val="Arial Narrow"/>
        <b/>
        <i/>
        <color theme="1"/>
        <sz val="10.0"/>
      </rPr>
      <t>)</t>
    </r>
  </si>
  <si>
    <t>PESO(Tn)</t>
  </si>
  <si>
    <t>BRAZO(m)</t>
  </si>
  <si>
    <t>MOMENTO(Tn-m)</t>
  </si>
  <si>
    <t>DESCRIPCION</t>
  </si>
  <si>
    <r>
      <rPr>
        <rFont val="Arial Narrow"/>
        <b/>
        <i/>
        <color theme="1"/>
        <sz val="10.0"/>
      </rPr>
      <t>AREA(m</t>
    </r>
    <r>
      <rPr>
        <rFont val="Arial Narrow"/>
        <b/>
        <i/>
        <color theme="1"/>
        <sz val="10.0"/>
        <vertAlign val="superscript"/>
      </rPr>
      <t>2</t>
    </r>
    <r>
      <rPr>
        <rFont val="Arial Narrow"/>
        <b/>
        <i/>
        <color theme="1"/>
        <sz val="10.0"/>
      </rPr>
      <t>)</t>
    </r>
  </si>
  <si>
    <t>SUELO TALUD</t>
  </si>
  <si>
    <t>SUELO S/C</t>
  </si>
  <si>
    <t>BASE</t>
  </si>
  <si>
    <t>CUÑA</t>
  </si>
  <si>
    <t>N=</t>
  </si>
  <si>
    <t>Mr=</t>
  </si>
  <si>
    <t>AREA DE CONCRETO</t>
  </si>
  <si>
    <r>
      <rPr>
        <rFont val="Arial Narrow"/>
        <b/>
        <i/>
        <color theme="1"/>
        <sz val="11.0"/>
      </rPr>
      <t>m</t>
    </r>
    <r>
      <rPr>
        <rFont val="Arial Narrow"/>
        <b/>
        <i/>
        <color theme="1"/>
        <sz val="11.0"/>
        <vertAlign val="superscript"/>
      </rPr>
      <t>2</t>
    </r>
  </si>
  <si>
    <t>3.1 VERIFICACION POR VOLTEO</t>
  </si>
  <si>
    <r>
      <rPr>
        <rFont val="Arial Narrow"/>
        <b/>
        <i/>
        <color theme="1"/>
        <sz val="11.0"/>
      </rPr>
      <t>Mh</t>
    </r>
    <r>
      <rPr>
        <rFont val="Arial Narrow"/>
        <b/>
        <i/>
        <color theme="1"/>
        <sz val="11.0"/>
        <vertAlign val="subscript"/>
      </rPr>
      <t>SUELO</t>
    </r>
    <r>
      <rPr>
        <rFont val="Arial Narrow"/>
        <b/>
        <i/>
        <color theme="1"/>
        <sz val="11.0"/>
      </rPr>
      <t>=</t>
    </r>
  </si>
  <si>
    <r>
      <rPr>
        <rFont val="Arial Narrow"/>
        <b/>
        <i/>
        <color theme="1"/>
        <sz val="11.0"/>
      </rPr>
      <t>Mh</t>
    </r>
    <r>
      <rPr>
        <rFont val="Arial Narrow"/>
        <b/>
        <i/>
        <color theme="1"/>
        <sz val="11.0"/>
        <vertAlign val="subscript"/>
      </rPr>
      <t>SUELO</t>
    </r>
    <r>
      <rPr>
        <rFont val="Arial Narrow"/>
        <b/>
        <i/>
        <color theme="1"/>
        <sz val="11.0"/>
      </rPr>
      <t>=</t>
    </r>
  </si>
  <si>
    <t>Mv=</t>
  </si>
  <si>
    <r>
      <rPr>
        <rFont val="Arial Narrow"/>
        <b/>
        <i/>
        <color theme="1"/>
        <sz val="11.0"/>
      </rPr>
      <t>Mh</t>
    </r>
    <r>
      <rPr>
        <rFont val="Arial Narrow"/>
        <b/>
        <i/>
        <color theme="1"/>
        <sz val="11.0"/>
        <vertAlign val="subscript"/>
      </rPr>
      <t>S/C</t>
    </r>
    <r>
      <rPr>
        <rFont val="Arial Narrow"/>
        <b/>
        <i/>
        <color theme="1"/>
        <sz val="11.0"/>
      </rPr>
      <t>=</t>
    </r>
  </si>
  <si>
    <r>
      <rPr>
        <rFont val="Arial Narrow"/>
        <b/>
        <i/>
        <color theme="1"/>
        <sz val="11.0"/>
      </rPr>
      <t>Mh</t>
    </r>
    <r>
      <rPr>
        <rFont val="Arial Narrow"/>
        <b/>
        <i/>
        <color theme="1"/>
        <sz val="11.0"/>
        <vertAlign val="subscript"/>
      </rPr>
      <t>S/C</t>
    </r>
    <r>
      <rPr>
        <rFont val="Arial Narrow"/>
        <b/>
        <i/>
        <color theme="1"/>
        <sz val="11.0"/>
      </rPr>
      <t>=</t>
    </r>
  </si>
  <si>
    <r>
      <rPr>
        <rFont val="Arial Narrow"/>
        <b/>
        <i/>
        <color theme="1"/>
        <sz val="11.0"/>
      </rPr>
      <t>Mv</t>
    </r>
    <r>
      <rPr>
        <rFont val="Arial Narrow"/>
        <b/>
        <i/>
        <color theme="1"/>
        <sz val="11.0"/>
        <vertAlign val="subscript"/>
      </rPr>
      <t>TOTAL</t>
    </r>
    <r>
      <rPr>
        <rFont val="Arial Narrow"/>
        <b/>
        <i/>
        <color theme="1"/>
        <sz val="11.0"/>
      </rPr>
      <t>=</t>
    </r>
  </si>
  <si>
    <r>
      <rPr>
        <rFont val="Arial Narrow"/>
        <b/>
        <i/>
        <color theme="1"/>
        <sz val="11.0"/>
      </rPr>
      <t>Mh</t>
    </r>
    <r>
      <rPr>
        <rFont val="Arial Narrow"/>
        <b/>
        <i/>
        <color theme="1"/>
        <sz val="11.0"/>
        <vertAlign val="subscript"/>
      </rPr>
      <t>TOTAL</t>
    </r>
    <r>
      <rPr>
        <rFont val="Arial Narrow"/>
        <b/>
        <i/>
        <color theme="1"/>
        <sz val="11.0"/>
      </rPr>
      <t>=</t>
    </r>
  </si>
  <si>
    <r>
      <rPr>
        <rFont val="Arial Narrow"/>
        <b/>
        <i/>
        <color theme="1"/>
        <sz val="11.0"/>
      </rPr>
      <t>Mv</t>
    </r>
    <r>
      <rPr>
        <rFont val="Arial Narrow"/>
        <b/>
        <i/>
        <color theme="1"/>
        <sz val="11.0"/>
        <vertAlign val="subscript"/>
      </rPr>
      <t>TOTAL</t>
    </r>
    <r>
      <rPr>
        <rFont val="Arial Narrow"/>
        <b/>
        <i/>
        <color theme="1"/>
        <sz val="11.0"/>
      </rPr>
      <t>=</t>
    </r>
  </si>
  <si>
    <t>Mq=</t>
  </si>
  <si>
    <r>
      <rPr>
        <rFont val="Arial Narrow"/>
        <b/>
        <i/>
        <color theme="1"/>
        <sz val="11.0"/>
      </rPr>
      <t>Mh</t>
    </r>
    <r>
      <rPr>
        <rFont val="Arial Narrow"/>
        <b/>
        <i/>
        <color theme="1"/>
        <sz val="11.0"/>
        <vertAlign val="subscript"/>
      </rPr>
      <t>TOTAL</t>
    </r>
    <r>
      <rPr>
        <rFont val="Arial Narrow"/>
        <b/>
        <i/>
        <color theme="1"/>
        <sz val="11.0"/>
      </rPr>
      <t>=</t>
    </r>
  </si>
  <si>
    <t>F.S.=</t>
  </si>
  <si>
    <t>3.2 VERIFICACION POR DESLIZAMIENTO</t>
  </si>
  <si>
    <t>µ=</t>
  </si>
  <si>
    <t>BRAZO</t>
  </si>
  <si>
    <t>MOMENTO</t>
  </si>
  <si>
    <r>
      <rPr>
        <rFont val="Arial Narrow"/>
        <b/>
        <i/>
        <color theme="1"/>
        <sz val="11.0"/>
      </rPr>
      <t>Pv</t>
    </r>
    <r>
      <rPr>
        <rFont val="Arial Narrow"/>
        <b/>
        <i/>
        <color theme="1"/>
        <sz val="11.0"/>
        <vertAlign val="subscript"/>
      </rPr>
      <t>TOTAL</t>
    </r>
    <r>
      <rPr>
        <rFont val="Arial Narrow"/>
        <b/>
        <i/>
        <color theme="1"/>
        <sz val="11.0"/>
      </rPr>
      <t>=</t>
    </r>
  </si>
  <si>
    <t>Fr=</t>
  </si>
  <si>
    <r>
      <rPr>
        <rFont val="Arial Narrow"/>
        <b/>
        <i/>
        <color theme="1"/>
        <sz val="11.0"/>
      </rPr>
      <t>Pv</t>
    </r>
    <r>
      <rPr>
        <rFont val="Arial Narrow"/>
        <b/>
        <i/>
        <color theme="1"/>
        <sz val="11.0"/>
        <vertAlign val="subscript"/>
      </rPr>
      <t>TOTAL</t>
    </r>
    <r>
      <rPr>
        <rFont val="Arial Narrow"/>
        <b/>
        <i/>
        <color theme="1"/>
        <sz val="11.0"/>
      </rPr>
      <t>=</t>
    </r>
  </si>
  <si>
    <t>EN EL CENTRO</t>
  </si>
  <si>
    <t>Rv=</t>
  </si>
  <si>
    <r>
      <rPr>
        <rFont val="Arial Narrow"/>
        <b/>
        <i/>
        <color theme="1"/>
        <sz val="11.0"/>
      </rPr>
      <t>Ph</t>
    </r>
    <r>
      <rPr>
        <rFont val="Arial Narrow"/>
        <b/>
        <i/>
        <color theme="1"/>
        <sz val="11.0"/>
        <vertAlign val="subscript"/>
      </rPr>
      <t>TOTAL</t>
    </r>
    <r>
      <rPr>
        <rFont val="Arial Narrow"/>
        <b/>
        <i/>
        <color theme="1"/>
        <sz val="11.0"/>
      </rPr>
      <t>=</t>
    </r>
  </si>
  <si>
    <t>Pq=</t>
  </si>
  <si>
    <t>EXTREMO INTERIOR</t>
  </si>
  <si>
    <r>
      <rPr>
        <rFont val="Arial Narrow"/>
        <b/>
        <i/>
        <color theme="1"/>
        <sz val="11.0"/>
      </rPr>
      <t>Ph</t>
    </r>
    <r>
      <rPr>
        <rFont val="Arial Narrow"/>
        <b/>
        <i/>
        <color theme="1"/>
        <sz val="11.0"/>
        <vertAlign val="subscript"/>
      </rPr>
      <t>TOTAL</t>
    </r>
    <r>
      <rPr>
        <rFont val="Arial Narrow"/>
        <b/>
        <i/>
        <color theme="1"/>
        <sz val="11.0"/>
      </rPr>
      <t>=</t>
    </r>
  </si>
  <si>
    <t>KEY</t>
  </si>
  <si>
    <t>UBICACION:</t>
  </si>
  <si>
    <t>DETALLE DEL DIENTE</t>
  </si>
  <si>
    <t>AREA=</t>
  </si>
  <si>
    <t>m2</t>
  </si>
  <si>
    <t>PESO</t>
  </si>
  <si>
    <t>SI NOSE REQUIERE DIENTE PONER CERO</t>
  </si>
  <si>
    <t>VOLTEO</t>
  </si>
  <si>
    <t>DESLIZAMIENTO</t>
  </si>
  <si>
    <t>¿CONSIDERAR Pp?</t>
  </si>
  <si>
    <t>BRAZO=</t>
  </si>
  <si>
    <t>Rv'=</t>
  </si>
  <si>
    <t>Pp=</t>
  </si>
  <si>
    <t>MOMENTO=</t>
  </si>
  <si>
    <t>Ph'=</t>
  </si>
  <si>
    <r>
      <rPr>
        <rFont val="Arial Narrow"/>
        <b/>
        <i/>
        <color theme="1"/>
        <sz val="11.0"/>
      </rPr>
      <t>Mv'</t>
    </r>
    <r>
      <rPr>
        <rFont val="Arial Narrow"/>
        <b/>
        <i/>
        <color theme="1"/>
        <sz val="11.0"/>
        <vertAlign val="subscript"/>
      </rPr>
      <t>TOTAL</t>
    </r>
    <r>
      <rPr>
        <rFont val="Arial Narrow"/>
        <b/>
        <i/>
        <color theme="1"/>
        <sz val="11.0"/>
      </rPr>
      <t>=</t>
    </r>
  </si>
  <si>
    <r>
      <rPr>
        <rFont val="Arial Narrow"/>
        <b/>
        <i/>
        <color theme="1"/>
        <sz val="11.0"/>
      </rPr>
      <t>Mv'</t>
    </r>
    <r>
      <rPr>
        <rFont val="Arial Narrow"/>
        <b/>
        <i/>
        <color theme="1"/>
        <sz val="11.0"/>
        <vertAlign val="subscript"/>
      </rPr>
      <t>TOTAL</t>
    </r>
    <r>
      <rPr>
        <rFont val="Arial Narrow"/>
        <b/>
        <i/>
        <color theme="1"/>
        <sz val="11.0"/>
      </rPr>
      <t>=</t>
    </r>
  </si>
  <si>
    <t>3.3 VERIFICACION POR ESFUERZOS DEL TERRENO</t>
  </si>
  <si>
    <t>3.3 VERIFICACION POR ESFUERZOS DEL TERRENO CON EFECTOS SISMICOS</t>
  </si>
  <si>
    <r>
      <rPr>
        <rFont val="Arial Narrow"/>
        <b/>
        <i/>
        <color theme="1"/>
        <sz val="11.0"/>
      </rPr>
      <t>Mv'</t>
    </r>
    <r>
      <rPr>
        <rFont val="Arial Narrow"/>
        <b/>
        <i/>
        <color theme="1"/>
        <sz val="11.0"/>
        <vertAlign val="subscript"/>
      </rPr>
      <t>TOTAL</t>
    </r>
    <r>
      <rPr>
        <rFont val="Arial Narrow"/>
        <b/>
        <i/>
        <color theme="1"/>
        <sz val="11.0"/>
      </rPr>
      <t>=</t>
    </r>
  </si>
  <si>
    <r>
      <rPr>
        <rFont val="Arial Narrow"/>
        <b/>
        <i/>
        <color theme="1"/>
        <sz val="11.0"/>
      </rPr>
      <t>Mv'</t>
    </r>
    <r>
      <rPr>
        <rFont val="Arial Narrow"/>
        <b/>
        <i/>
        <color theme="1"/>
        <sz val="11.0"/>
        <vertAlign val="subscript"/>
      </rPr>
      <t>TOTAL</t>
    </r>
    <r>
      <rPr>
        <rFont val="Arial Narrow"/>
        <b/>
        <i/>
        <color theme="1"/>
        <sz val="11.0"/>
      </rPr>
      <t>=</t>
    </r>
  </si>
  <si>
    <t>Mh=</t>
  </si>
  <si>
    <t>DIAGRAMA DE PRESIONES:</t>
  </si>
  <si>
    <t>ΣMo=</t>
  </si>
  <si>
    <t>NUCLEO CENTRAL</t>
  </si>
  <si>
    <t>ECUACION</t>
  </si>
  <si>
    <t>e=</t>
  </si>
  <si>
    <t>X</t>
  </si>
  <si>
    <t>Y</t>
  </si>
  <si>
    <t>L/3=</t>
  </si>
  <si>
    <t>2L/3=</t>
  </si>
  <si>
    <t>¿ESTA EN EL TERCIO CENTRAL?</t>
  </si>
  <si>
    <r>
      <rPr>
        <rFont val="Arial"/>
        <b/>
        <i/>
        <color theme="1"/>
        <sz val="11.0"/>
      </rPr>
      <t>1.3</t>
    </r>
    <r>
      <rPr>
        <rFont val="GreekC"/>
        <b/>
        <i val="0"/>
        <color theme="1"/>
        <sz val="11.0"/>
      </rPr>
      <t>s</t>
    </r>
    <r>
      <rPr>
        <rFont val="Arial Narrow"/>
        <b/>
        <i/>
        <color theme="1"/>
        <sz val="11.0"/>
        <vertAlign val="subscript"/>
      </rPr>
      <t>ADM</t>
    </r>
    <r>
      <rPr>
        <rFont val="Arial Narrow"/>
        <b/>
        <i/>
        <color theme="1"/>
        <sz val="11.0"/>
      </rPr>
      <t>=</t>
    </r>
  </si>
  <si>
    <t>ESFUERZOS EN LOS EXTREMOS DE LA CIMENTACION</t>
  </si>
  <si>
    <r>
      <rPr>
        <rFont val="GreekC"/>
        <b/>
        <i val="0"/>
        <color theme="1"/>
        <sz val="11.0"/>
      </rPr>
      <t>s</t>
    </r>
    <r>
      <rPr>
        <rFont val="Arial Narrow"/>
        <b/>
        <i/>
        <color theme="1"/>
        <sz val="11.0"/>
      </rPr>
      <t>1=</t>
    </r>
  </si>
  <si>
    <t>ECUACION DEL DIAGRAMA DE PRESIONES</t>
  </si>
  <si>
    <r>
      <rPr>
        <rFont val="GreekC"/>
        <b/>
        <i val="0"/>
        <color theme="1"/>
        <sz val="11.0"/>
      </rPr>
      <t>s</t>
    </r>
    <r>
      <rPr>
        <rFont val="Arial Narrow"/>
        <b/>
        <i/>
        <color theme="1"/>
        <sz val="11.0"/>
      </rPr>
      <t>2=</t>
    </r>
  </si>
  <si>
    <r>
      <rPr>
        <rFont val="Arial Narrow"/>
        <b/>
        <i/>
        <color rgb="FF548DD4"/>
        <sz val="11.0"/>
      </rPr>
      <t xml:space="preserve">y      </t>
    </r>
    <r>
      <rPr>
        <rFont val="Arial Narrow"/>
        <b/>
        <i/>
        <color rgb="FFFF0000"/>
        <sz val="11.0"/>
      </rPr>
      <t>=</t>
    </r>
  </si>
  <si>
    <t>x</t>
  </si>
  <si>
    <t>+</t>
  </si>
  <si>
    <t>a=</t>
  </si>
  <si>
    <r>
      <rPr>
        <rFont val="GreekC"/>
        <b/>
        <i val="0"/>
        <color theme="1"/>
        <sz val="11.0"/>
      </rPr>
      <t>s</t>
    </r>
    <r>
      <rPr>
        <rFont val="Arial Narrow"/>
        <b/>
        <i/>
        <color theme="1"/>
        <sz val="11.0"/>
      </rPr>
      <t>1=</t>
    </r>
  </si>
  <si>
    <r>
      <rPr>
        <rFont val="Arial Narrow"/>
        <b/>
        <i/>
        <color rgb="FF548DD4"/>
        <sz val="11.0"/>
      </rPr>
      <t xml:space="preserve">y      </t>
    </r>
    <r>
      <rPr>
        <rFont val="Arial Narrow"/>
        <b/>
        <i/>
        <color rgb="FFFF0000"/>
        <sz val="11.0"/>
      </rPr>
      <t>=</t>
    </r>
  </si>
  <si>
    <r>
      <rPr>
        <rFont val="GreekC"/>
        <b/>
        <i val="0"/>
        <color theme="1"/>
        <sz val="11.0"/>
      </rPr>
      <t>s</t>
    </r>
    <r>
      <rPr>
        <rFont val="Arial Narrow"/>
        <b/>
        <i/>
        <color theme="1"/>
        <sz val="11.0"/>
      </rPr>
      <t>2=</t>
    </r>
  </si>
  <si>
    <t>ESFUERZOS DEL TERRENO PARA CALCULO DEL REFUERZO</t>
  </si>
  <si>
    <t>ESFUERZOS</t>
  </si>
  <si>
    <t>DIMENSIONES FINALES</t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</si>
  <si>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2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</si>
  <si>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1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</si>
  <si>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2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</si>
  <si>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1</t>
    </r>
  </si>
  <si>
    <t>F-SISMO</t>
  </si>
  <si>
    <t>ESPESOR</t>
  </si>
  <si>
    <t>LONGITUD</t>
  </si>
  <si>
    <t>P.P</t>
  </si>
  <si>
    <t>SIN SISMO</t>
  </si>
  <si>
    <t>CON SISMO</t>
  </si>
  <si>
    <t>MAXIMO</t>
  </si>
  <si>
    <t>SISMO</t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</si>
  <si>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2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</si>
  <si>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1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</si>
  <si>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2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</si>
  <si>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1</t>
    </r>
  </si>
  <si>
    <r>
      <rPr>
        <rFont val="Arial Narrow"/>
        <b/>
        <i/>
        <color theme="1"/>
        <sz val="10.0"/>
      </rPr>
      <t>q</t>
    </r>
    <r>
      <rPr>
        <rFont val="Arial Narrow"/>
        <b/>
        <i/>
        <color theme="1"/>
        <sz val="10.0"/>
        <vertAlign val="subscript"/>
      </rPr>
      <t>1=</t>
    </r>
  </si>
  <si>
    <r>
      <rPr>
        <rFont val="Arial Narrow"/>
        <b/>
        <i/>
        <color theme="1"/>
        <sz val="10.0"/>
      </rPr>
      <t>q</t>
    </r>
    <r>
      <rPr>
        <rFont val="Arial Narrow"/>
        <b/>
        <i/>
        <color theme="1"/>
        <sz val="10.0"/>
        <vertAlign val="subscript"/>
      </rPr>
      <t>2=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</si>
  <si>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2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</si>
  <si>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1</t>
    </r>
  </si>
  <si>
    <t>P.T.</t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</si>
  <si>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2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</si>
  <si>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1</t>
    </r>
  </si>
  <si>
    <r>
      <rPr>
        <rFont val="GreekC"/>
        <b/>
        <i/>
        <color rgb="FF3F3F3F"/>
        <sz val="11.0"/>
        <u/>
      </rPr>
      <t>s</t>
    </r>
    <r>
      <rPr>
        <rFont val="Arial Narrow"/>
        <b/>
        <i/>
        <color rgb="FF3F3F3F"/>
        <sz val="8.0"/>
        <u/>
      </rPr>
      <t xml:space="preserve"> DEL SUELO</t>
    </r>
  </si>
  <si>
    <t>W DEL SUELO</t>
  </si>
  <si>
    <r>
      <rPr>
        <rFont val="GreekC"/>
        <b/>
        <i/>
        <color rgb="FF3F3F3F"/>
        <sz val="11.0"/>
        <u/>
      </rPr>
      <t>s</t>
    </r>
    <r>
      <rPr>
        <rFont val="Arial Narrow"/>
        <b/>
        <i/>
        <color rgb="FF3F3F3F"/>
        <sz val="8.0"/>
        <u/>
      </rPr>
      <t xml:space="preserve"> DEL SUELO</t>
    </r>
  </si>
  <si>
    <t>Peso Propio=</t>
  </si>
  <si>
    <r>
      <rPr>
        <rFont val="Arial Narrow"/>
        <b/>
        <i/>
        <color theme="1"/>
        <sz val="10.0"/>
      </rPr>
      <t>q</t>
    </r>
    <r>
      <rPr>
        <rFont val="Arial Narrow"/>
        <b/>
        <i/>
        <color theme="1"/>
        <sz val="10.0"/>
        <vertAlign val="subscript"/>
      </rPr>
      <t>1=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</si>
  <si>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2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</si>
  <si>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1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</si>
  <si>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2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</si>
  <si>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1</t>
    </r>
  </si>
  <si>
    <r>
      <rPr>
        <rFont val="Arial Narrow"/>
        <b/>
        <i/>
        <color theme="1"/>
        <sz val="10.0"/>
      </rPr>
      <t>q</t>
    </r>
    <r>
      <rPr>
        <rFont val="Arial Narrow"/>
        <b/>
        <i/>
        <color theme="1"/>
        <sz val="10.0"/>
        <vertAlign val="subscript"/>
      </rPr>
      <t>2=</t>
    </r>
  </si>
  <si>
    <t>EMPUJE ACTIVO</t>
  </si>
  <si>
    <t>DISEÑO:</t>
  </si>
  <si>
    <t>P.Terreno=</t>
  </si>
  <si>
    <t>ANALISIS ESTRUCTURAL</t>
  </si>
  <si>
    <r>
      <rPr>
        <rFont val="Arial Narrow"/>
        <b/>
        <i/>
        <color theme="1"/>
        <sz val="10.0"/>
      </rPr>
      <t>q</t>
    </r>
    <r>
      <rPr>
        <rFont val="Arial Narrow"/>
        <b/>
        <i/>
        <color theme="1"/>
        <sz val="10.0"/>
        <vertAlign val="subscript"/>
      </rPr>
      <t>1=</t>
    </r>
  </si>
  <si>
    <r>
      <rPr>
        <rFont val="Arial Narrow"/>
        <b/>
        <i/>
        <color theme="1"/>
        <sz val="10.0"/>
      </rPr>
      <t>q</t>
    </r>
    <r>
      <rPr>
        <rFont val="Arial Narrow"/>
        <b/>
        <i/>
        <color theme="1"/>
        <sz val="10.0"/>
        <vertAlign val="subscript"/>
      </rPr>
      <t>2=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</si>
  <si>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1=</t>
    </r>
  </si>
  <si>
    <t>Tn/m</t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</si>
  <si>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1=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</si>
  <si>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2=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</si>
  <si>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1=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</si>
  <si>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2=</t>
    </r>
  </si>
  <si>
    <r>
      <rPr>
        <rFont val="Arial Narrow"/>
        <b/>
        <i/>
        <color theme="1"/>
        <sz val="10.0"/>
      </rPr>
      <t>q</t>
    </r>
    <r>
      <rPr>
        <rFont val="Arial Narrow"/>
        <b/>
        <i/>
        <color theme="1"/>
        <sz val="10.0"/>
        <vertAlign val="subscript"/>
      </rPr>
      <t>1=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</si>
  <si>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2=</t>
    </r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</si>
  <si>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1=</t>
    </r>
  </si>
  <si>
    <t>q2=</t>
  </si>
  <si>
    <r>
      <rPr>
        <rFont val="Arial Narrow"/>
        <b/>
        <i/>
        <color theme="1"/>
        <sz val="10.0"/>
      </rPr>
      <t>q</t>
    </r>
    <r>
      <rPr>
        <rFont val="Arial Narrow"/>
        <b/>
        <i/>
        <color theme="1"/>
        <sz val="10.0"/>
        <vertAlign val="subscript"/>
      </rPr>
      <t>2=</t>
    </r>
  </si>
  <si>
    <t>X1=</t>
  </si>
  <si>
    <t>w=</t>
  </si>
  <si>
    <r>
      <rPr>
        <rFont val="Arial Narrow"/>
        <b/>
        <i/>
        <color theme="1"/>
        <sz val="11.0"/>
      </rPr>
      <t>q</t>
    </r>
    <r>
      <rPr>
        <rFont val="Arial Narrow"/>
        <b/>
        <i/>
        <color theme="1"/>
        <sz val="11.0"/>
        <vertAlign val="subscript"/>
      </rPr>
      <t>2=</t>
    </r>
  </si>
  <si>
    <t>X2=</t>
  </si>
  <si>
    <t>X3=</t>
  </si>
  <si>
    <t>X4=</t>
  </si>
  <si>
    <t>V</t>
  </si>
  <si>
    <t>P.T</t>
  </si>
  <si>
    <t>M</t>
  </si>
  <si>
    <t>V(X2)</t>
  </si>
  <si>
    <t>VX4</t>
  </si>
  <si>
    <t>M(X1)</t>
  </si>
  <si>
    <t>Mu=</t>
  </si>
  <si>
    <t>M(X3)</t>
  </si>
  <si>
    <t>Vu=</t>
  </si>
  <si>
    <t>DISEÑO CONCRETO ARMADO</t>
  </si>
  <si>
    <t>tm-m</t>
  </si>
  <si>
    <t>tn</t>
  </si>
  <si>
    <t>Fy=</t>
  </si>
  <si>
    <t>kg/m2</t>
  </si>
  <si>
    <t>f'c=</t>
  </si>
  <si>
    <t>t=</t>
  </si>
  <si>
    <t>kg-cm</t>
  </si>
  <si>
    <t>DISEÑO POR FLEXION</t>
  </si>
  <si>
    <t>CUANTIAS</t>
  </si>
  <si>
    <t>CUANTIA:</t>
  </si>
  <si>
    <t>AREAS:</t>
  </si>
  <si>
    <r>
      <rPr>
        <rFont val="GreekS"/>
        <b/>
        <i val="0"/>
        <color rgb="FFFF0000"/>
        <sz val="11.0"/>
      </rPr>
      <t>r</t>
    </r>
    <r>
      <rPr>
        <rFont val="Arial Narrow"/>
        <b/>
        <i/>
        <color rgb="FFFF0000"/>
        <sz val="11.0"/>
        <vertAlign val="subscript"/>
      </rPr>
      <t>MIN</t>
    </r>
  </si>
  <si>
    <t>cm2</t>
  </si>
  <si>
    <r>
      <rPr>
        <rFont val="GreekS"/>
        <b/>
        <i val="0"/>
        <color rgb="FFFF0000"/>
        <sz val="11.0"/>
      </rPr>
      <t>r</t>
    </r>
    <r>
      <rPr>
        <rFont val="Arial Narrow"/>
        <b/>
        <i/>
        <color rgb="FFFF0000"/>
        <sz val="11.0"/>
        <vertAlign val="subscript"/>
      </rPr>
      <t>MIN</t>
    </r>
  </si>
  <si>
    <r>
      <rPr>
        <rFont val="GreekS"/>
        <b/>
        <i val="0"/>
        <color rgb="FFFF0000"/>
        <sz val="11.0"/>
      </rPr>
      <t>r</t>
    </r>
    <r>
      <rPr>
        <rFont val="Arial Narrow"/>
        <b/>
        <i/>
        <color rgb="FFFF0000"/>
        <sz val="11.0"/>
        <vertAlign val="subscript"/>
      </rPr>
      <t>MIN</t>
    </r>
  </si>
  <si>
    <r>
      <rPr>
        <rFont val="GreekS"/>
        <b/>
        <i val="0"/>
        <color rgb="FFFF0000"/>
        <sz val="11.0"/>
      </rPr>
      <t>r</t>
    </r>
    <r>
      <rPr>
        <rFont val="Arial Narrow"/>
        <b/>
        <i/>
        <color rgb="FFFF0000"/>
        <sz val="11.0"/>
        <vertAlign val="subscript"/>
      </rPr>
      <t>MIN</t>
    </r>
  </si>
  <si>
    <r>
      <rPr>
        <rFont val="GreekS"/>
        <b/>
        <i val="0"/>
        <color rgb="FFFF0000"/>
        <sz val="11.0"/>
      </rPr>
      <t>r</t>
    </r>
    <r>
      <rPr>
        <rFont val="Arial Narrow"/>
        <b/>
        <i/>
        <color rgb="FFFF0000"/>
        <sz val="11.0"/>
        <vertAlign val="subscript"/>
      </rPr>
      <t>MIN</t>
    </r>
  </si>
  <si>
    <r>
      <rPr>
        <rFont val="GreekS"/>
        <b/>
        <i val="0"/>
        <color rgb="FFFF0000"/>
        <sz val="11.0"/>
      </rPr>
      <t>rt</t>
    </r>
    <r>
      <rPr>
        <rFont val="Arial Narrow"/>
        <b/>
        <i/>
        <color rgb="FFFF0000"/>
        <sz val="11.0"/>
        <vertAlign val="subscript"/>
      </rPr>
      <t>MIN</t>
    </r>
  </si>
  <si>
    <r>
      <rPr>
        <rFont val="GreekS"/>
        <b/>
        <i val="0"/>
        <color rgb="FFFF0000"/>
        <sz val="11.0"/>
      </rPr>
      <t>r</t>
    </r>
    <r>
      <rPr>
        <rFont val="Arial Narrow"/>
        <b/>
        <i/>
        <color rgb="FFFF0000"/>
        <sz val="11.0"/>
        <vertAlign val="subscript"/>
      </rPr>
      <t>MIN</t>
    </r>
  </si>
  <si>
    <r>
      <rPr>
        <rFont val="GreekS"/>
        <b/>
        <i val="0"/>
        <color rgb="FFFF0000"/>
        <sz val="11.0"/>
      </rPr>
      <t>r</t>
    </r>
    <r>
      <rPr>
        <rFont val="Arial Narrow"/>
        <b/>
        <i/>
        <color rgb="FFFF0000"/>
        <sz val="11.0"/>
        <vertAlign val="subscript"/>
      </rPr>
      <t>MIN</t>
    </r>
  </si>
  <si>
    <t>CALCULO DEL AREA DEL REFUERZO (METODO CUADRATICO)</t>
  </si>
  <si>
    <t>VERIFICACION</t>
  </si>
  <si>
    <t>As=</t>
  </si>
  <si>
    <t>Asmin</t>
  </si>
  <si>
    <t xml:space="preserve">   </t>
  </si>
  <si>
    <t>DISTIBUCION DEL ACERO LONGITUDINAL PRINCIPAL</t>
  </si>
  <si>
    <t>DISTIBUCION DEL ACERO LONGITUDINAL</t>
  </si>
  <si>
    <t>AREA DEL ACERO A USAR:</t>
  </si>
  <si>
    <t>1"</t>
  </si>
  <si>
    <t>3/4"</t>
  </si>
  <si>
    <t>5/8"</t>
  </si>
  <si>
    <t># de barras:</t>
  </si>
  <si>
    <t>barras</t>
  </si>
  <si>
    <t>ENTONCES:</t>
  </si>
  <si>
    <t xml:space="preserve">DISTIBUCION DEL ACERO TRANSVERSAL </t>
  </si>
  <si>
    <t>DISTIBUCION DEL ACERO TRANSVERSAL</t>
  </si>
  <si>
    <t>CARA DEL TERRENO</t>
  </si>
  <si>
    <t xml:space="preserve">PROPORCION: </t>
  </si>
  <si>
    <t>As1=</t>
  </si>
  <si>
    <t>1/2"</t>
  </si>
  <si>
    <t>CARA LIBRE</t>
  </si>
  <si>
    <t>DISEÑO POR CORTE</t>
  </si>
  <si>
    <t>CALCULAR EL CORTANTE A UNA DISTANCIA:</t>
  </si>
  <si>
    <t>d:</t>
  </si>
  <si>
    <t>CORTE A:</t>
  </si>
  <si>
    <t>Vu:</t>
  </si>
  <si>
    <t>APORTE DEL CONCRETO</t>
  </si>
  <si>
    <t>Vc=</t>
  </si>
  <si>
    <t>ØVc=</t>
  </si>
  <si>
    <t>VERIFICAMOS</t>
  </si>
  <si>
    <t>¿Vc&gt;Vu?</t>
  </si>
  <si>
    <t>diametro</t>
  </si>
  <si>
    <t>AREA (cm2)</t>
  </si>
  <si>
    <r>
      <rPr>
        <rFont val="Arial Narrow"/>
        <b/>
        <color rgb="FF5F497A"/>
        <sz val="14.0"/>
      </rPr>
      <t>PANTALLA</t>
    </r>
    <r>
      <rPr>
        <rFont val="Arial Narrow"/>
        <b/>
        <color rgb="FF5F497A"/>
        <sz val="11.0"/>
      </rPr>
      <t>(RECORTE DE REFUERZO LONGITUDINAL PRINCIPAL)</t>
    </r>
  </si>
  <si>
    <t>DISTIBUCION DEL ACERO LONGITUDINAL SECUNDARIO</t>
  </si>
  <si>
    <t>LONGITUD DEL PEDESTAL</t>
  </si>
  <si>
    <t>6mm</t>
  </si>
  <si>
    <t>8mm</t>
  </si>
  <si>
    <t>¿ES MENOR AL MOMENTO?</t>
  </si>
  <si>
    <t>3/8"</t>
  </si>
  <si>
    <t>Mu/2=</t>
  </si>
  <si>
    <t>12mm</t>
  </si>
  <si>
    <t>ALTURA DEL PEDESTAL</t>
  </si>
  <si>
    <r>
      <rPr>
        <rFont val="Arial Narrow"/>
        <b/>
        <color rgb="FF5F497A"/>
        <sz val="13.0"/>
      </rPr>
      <t>TALON</t>
    </r>
    <r>
      <rPr>
        <rFont val="Arial Narrow"/>
        <b/>
        <color rgb="FF5F497A"/>
        <sz val="12.0"/>
      </rPr>
      <t>(RECORTE DE REFUERZO)</t>
    </r>
  </si>
  <si>
    <t>1 3/8"</t>
  </si>
  <si>
    <t>kg-cm2</t>
  </si>
  <si>
    <t>DISTIBUCION DEL ACERO LONGITUDINAL PRINCIPAL- RECORTE</t>
  </si>
  <si>
    <r>
      <rPr>
        <rFont val="GreekS"/>
        <b/>
        <i val="0"/>
        <color rgb="FFFF0000"/>
        <sz val="11.0"/>
      </rPr>
      <t>r</t>
    </r>
    <r>
      <rPr>
        <rFont val="Arial Narrow"/>
        <b/>
        <i/>
        <color rgb="FFFF0000"/>
        <sz val="11.0"/>
        <vertAlign val="subscript"/>
      </rPr>
      <t>MIN</t>
    </r>
  </si>
  <si>
    <r>
      <rPr>
        <rFont val="GreekS"/>
        <b/>
        <i val="0"/>
        <color rgb="FFFF0000"/>
        <sz val="11.0"/>
      </rPr>
      <t>r</t>
    </r>
    <r>
      <rPr>
        <rFont val="Arial Narrow"/>
        <b/>
        <i/>
        <color rgb="FFFF0000"/>
        <sz val="11.0"/>
        <vertAlign val="subscript"/>
      </rPr>
      <t>MIN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</si>
</sst>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0.000"/>
    <numFmt numFmtId="166" formatCode="0.0000000"/>
    <numFmt numFmtId="167" formatCode="0.0000"/>
    <numFmt numFmtId="168" formatCode="0.00000"/>
  </numFmts>
  <fonts count="64">
    <font>
      <sz val="11.0"/>
      <color rgb="FF000000"/>
      <name val="Arial"/>
      <scheme val="minor"/>
    </font>
    <font>
      <b/>
      <i/>
      <sz val="11.0"/>
      <color rgb="FFFF0000"/>
      <name val="Arial Narrow"/>
    </font>
    <font>
      <b/>
      <i/>
      <sz val="11.0"/>
      <color theme="1"/>
      <name val="Arial Narrow"/>
    </font>
    <font>
      <sz val="11.0"/>
      <color theme="1"/>
      <name val="Arial Narrow"/>
    </font>
    <font>
      <b/>
      <sz val="12.0"/>
      <color theme="1"/>
      <name val="Arial Narrow"/>
    </font>
    <font>
      <b/>
      <u/>
      <sz val="12.0"/>
      <color theme="1"/>
      <name val="Arial Narrow"/>
    </font>
    <font/>
    <font>
      <b/>
      <u/>
      <sz val="12.0"/>
      <color theme="1"/>
      <name val="Arial Narrow"/>
    </font>
    <font>
      <b/>
      <sz val="14.0"/>
      <color theme="1"/>
      <name val="Arial Narrow"/>
    </font>
    <font>
      <b/>
      <i/>
      <sz val="12.0"/>
      <color rgb="FFFF0000"/>
      <name val="Arial Narrow"/>
    </font>
    <font>
      <b/>
      <sz val="11.0"/>
      <color rgb="FF3F3F3F"/>
      <name val="Arial Narrow"/>
    </font>
    <font>
      <b/>
      <i/>
      <sz val="12.0"/>
      <color theme="1"/>
      <name val="Arial Narrow"/>
    </font>
    <font>
      <b/>
      <i/>
      <sz val="11.0"/>
      <color theme="1"/>
      <name val="Calibri"/>
    </font>
    <font>
      <b/>
      <sz val="12.0"/>
      <color rgb="FFFF0000"/>
      <name val="GreekC"/>
    </font>
    <font>
      <b/>
      <i/>
      <u/>
      <sz val="12.0"/>
      <color theme="1"/>
      <name val="Arial Narrow"/>
    </font>
    <font>
      <b/>
      <i/>
      <u/>
      <sz val="14.0"/>
      <color theme="1"/>
      <name val="Arial Narrow"/>
    </font>
    <font>
      <b/>
      <i/>
      <u/>
      <sz val="11.0"/>
      <color theme="1"/>
      <name val="Arial Narrow"/>
    </font>
    <font>
      <b/>
      <sz val="12.0"/>
      <color rgb="FFFF0000"/>
      <name val="Arial Narrow"/>
    </font>
    <font>
      <sz val="11.0"/>
      <color theme="1"/>
      <name val="Calibri"/>
    </font>
    <font>
      <b/>
      <i/>
      <sz val="10.0"/>
      <color theme="1"/>
      <name val="Arial Narrow"/>
    </font>
    <font>
      <b/>
      <i/>
      <sz val="8.0"/>
      <color theme="1"/>
      <name val="Arial Narrow"/>
    </font>
    <font>
      <b/>
      <i/>
      <u/>
      <sz val="12.0"/>
      <color theme="1"/>
      <name val="Arial Narrow"/>
    </font>
    <font>
      <b/>
      <sz val="14.0"/>
      <color theme="1"/>
      <name val="Calibri"/>
    </font>
    <font>
      <b/>
      <i/>
      <sz val="9.0"/>
      <color theme="1"/>
      <name val="Arial Narrow"/>
    </font>
    <font>
      <b/>
      <sz val="11.0"/>
      <color theme="1"/>
      <name val="Helvetica Neue"/>
    </font>
    <font>
      <b/>
      <sz val="11.0"/>
      <color theme="1"/>
      <name val="Arial Narrow"/>
    </font>
    <font>
      <b/>
      <sz val="36.0"/>
      <color rgb="FFFF0000"/>
      <name val="Arial Narrow"/>
    </font>
    <font>
      <i/>
      <sz val="11.0"/>
      <color theme="1"/>
      <name val="Arial Narrow"/>
    </font>
    <font>
      <b/>
      <i/>
      <sz val="14.0"/>
      <color theme="1"/>
      <name val="Calibri"/>
    </font>
    <font>
      <b/>
      <sz val="11.0"/>
      <color theme="1"/>
      <name val="Calibri"/>
    </font>
    <font>
      <b/>
      <i/>
      <sz val="11.0"/>
      <color theme="1"/>
      <name val="GreekC"/>
    </font>
    <font>
      <color theme="1"/>
      <name val="Arial"/>
      <scheme val="minor"/>
    </font>
    <font>
      <b/>
      <i/>
      <sz val="11.0"/>
      <color rgb="FF1F497D"/>
      <name val="Calibri"/>
    </font>
    <font>
      <b/>
      <sz val="9.0"/>
      <color theme="1"/>
      <name val="Arial Narrow"/>
    </font>
    <font>
      <b/>
      <i/>
      <sz val="14.0"/>
      <color theme="1"/>
      <name val="Arial Narrow"/>
    </font>
    <font>
      <b/>
      <sz val="11.0"/>
      <color rgb="FF3F3F3F"/>
      <name val="Helvetica Neue"/>
    </font>
    <font>
      <i/>
      <sz val="11.0"/>
      <color theme="1"/>
      <name val="Calibri"/>
    </font>
    <font>
      <b/>
      <i/>
      <sz val="12.0"/>
      <color theme="1"/>
      <name val="Calibri"/>
    </font>
    <font>
      <b/>
      <i/>
      <sz val="11.0"/>
      <color rgb="FF1F497D"/>
      <name val="Arial Narrow"/>
    </font>
    <font>
      <i/>
      <sz val="11.0"/>
      <color rgb="FFFF0000"/>
      <name val="Arial Narrow"/>
    </font>
    <font>
      <b/>
      <i/>
      <u/>
      <sz val="11.0"/>
      <color theme="1"/>
      <name val="Arial Narrow"/>
    </font>
    <font>
      <b/>
      <i/>
      <u/>
      <sz val="11.0"/>
      <color rgb="FFFF0000"/>
      <name val="Arial Narrow"/>
    </font>
    <font>
      <b/>
      <i/>
      <sz val="11.0"/>
      <color rgb="FF548DD4"/>
      <name val="Arial Narrow"/>
    </font>
    <font>
      <sz val="10.0"/>
      <color theme="1"/>
      <name val="Arial Narrow"/>
    </font>
    <font>
      <b/>
      <i/>
      <u/>
      <sz val="11.0"/>
      <color rgb="FF3F3F3F"/>
      <name val="Arial Narrow"/>
    </font>
    <font>
      <b/>
      <i/>
      <u/>
      <sz val="8.0"/>
      <color rgb="FF3F3F3F"/>
      <name val="Arial Narrow"/>
    </font>
    <font>
      <b/>
      <i/>
      <sz val="11.0"/>
      <color rgb="FF3F3F3F"/>
      <name val="Arial Narrow"/>
    </font>
    <font>
      <b/>
      <sz val="26.0"/>
      <color rgb="FFFF0000"/>
      <name val="Arial Narrow"/>
    </font>
    <font>
      <b/>
      <sz val="24.0"/>
      <color rgb="FF5F497A"/>
      <name val="Arial Narrow"/>
    </font>
    <font>
      <b/>
      <sz val="11.0"/>
      <color rgb="FF3F3F3F"/>
      <name val="Calibri"/>
    </font>
    <font>
      <sz val="11.0"/>
      <color rgb="FFFF0000"/>
      <name val="Arial Narrow"/>
    </font>
    <font>
      <b/>
      <sz val="11.0"/>
      <color rgb="FFFF0000"/>
      <name val="Calibri"/>
    </font>
    <font>
      <b/>
      <sz val="11.0"/>
      <color rgb="FFFF0000"/>
      <name val="Arial Narrow"/>
    </font>
    <font>
      <sz val="14.0"/>
      <color theme="1"/>
      <name val="Arial Narrow"/>
    </font>
    <font>
      <sz val="14.0"/>
      <color theme="1"/>
      <name val="Calibri"/>
    </font>
    <font>
      <b/>
      <sz val="12.0"/>
      <color rgb="FFE36C09"/>
      <name val="Arial Narrow"/>
    </font>
    <font>
      <sz val="11.0"/>
      <color rgb="FFD99594"/>
      <name val="Arial Narrow"/>
    </font>
    <font>
      <i/>
      <sz val="10.0"/>
      <color theme="1"/>
      <name val="Arial Narrow"/>
    </font>
    <font>
      <b/>
      <sz val="10.0"/>
      <color rgb="FFFF0000"/>
      <name val="Arial Narrow"/>
    </font>
    <font>
      <b/>
      <i/>
      <sz val="9.0"/>
      <color rgb="FFFF0000"/>
      <name val="Arial Narrow"/>
    </font>
    <font>
      <b/>
      <sz val="12.0"/>
      <color rgb="FF5F497A"/>
      <name val="Arial Narrow"/>
    </font>
    <font>
      <b/>
      <sz val="10.0"/>
      <color theme="1"/>
      <name val="Arial Narrow"/>
    </font>
    <font>
      <b/>
      <i/>
      <sz val="16.0"/>
      <color theme="1"/>
      <name val="Arial Narrow"/>
    </font>
    <font>
      <b/>
      <sz val="18.0"/>
      <color rgb="FF548DD4"/>
      <name val="Arial Narrow"/>
    </font>
  </fonts>
  <fills count="22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E5DFEC"/>
        <bgColor rgb="FFE5DFEC"/>
      </patternFill>
    </fill>
    <fill>
      <patternFill patternType="solid">
        <fgColor rgb="FFF2F2F2"/>
        <bgColor rgb="FFF2F2F2"/>
      </patternFill>
    </fill>
    <fill>
      <patternFill patternType="solid">
        <fgColor rgb="FF3F3F3F"/>
        <bgColor rgb="FF3F3F3F"/>
      </patternFill>
    </fill>
    <fill>
      <patternFill patternType="solid">
        <fgColor rgb="FF1F497D"/>
        <bgColor rgb="FF1F497D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EEECE1"/>
        <bgColor rgb="FFEEECE1"/>
      </patternFill>
    </fill>
    <fill>
      <patternFill patternType="solid">
        <fgColor rgb="FFD6E3BC"/>
        <bgColor rgb="FFD6E3BC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8DB3E2"/>
        <bgColor rgb="FF8DB3E2"/>
      </patternFill>
    </fill>
    <fill>
      <patternFill patternType="solid">
        <fgColor rgb="FFDAEEF3"/>
        <bgColor rgb="FFDAEEF3"/>
      </patternFill>
    </fill>
    <fill>
      <patternFill patternType="solid">
        <fgColor rgb="FFC4BD97"/>
        <bgColor rgb="FFC4BD97"/>
      </patternFill>
    </fill>
    <fill>
      <patternFill patternType="solid">
        <fgColor rgb="FFDBE5F1"/>
        <bgColor rgb="FFDBE5F1"/>
      </patternFill>
    </fill>
    <fill>
      <patternFill patternType="solid">
        <fgColor rgb="FFCCC0D9"/>
        <bgColor rgb="FFCCC0D9"/>
      </patternFill>
    </fill>
    <fill>
      <patternFill patternType="solid">
        <fgColor rgb="FFB8CCE4"/>
        <bgColor rgb="FFB8CCE4"/>
      </patternFill>
    </fill>
    <fill>
      <patternFill patternType="solid">
        <fgColor rgb="FF92D050"/>
        <bgColor rgb="FF92D050"/>
      </patternFill>
    </fill>
  </fills>
  <borders count="18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</border>
    <border>
      <top/>
    </border>
    <border>
      <left/>
    </border>
    <border>
      <left style="medium">
        <color rgb="FF000000"/>
      </left>
    </border>
    <border>
      <left style="medium">
        <color rgb="FF000000"/>
      </left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95B3D7"/>
      </bottom>
    </border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top style="double">
        <color rgb="FF000000"/>
      </top>
    </border>
  </borders>
  <cellStyleXfs count="1">
    <xf borderId="0" fillId="0" fontId="0" numFmtId="0" applyAlignment="1" applyFont="1"/>
  </cellStyleXfs>
  <cellXfs count="2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0" fontId="3" numFmtId="0" xfId="0" applyFont="1"/>
    <xf borderId="1" fillId="2" fontId="3" numFmtId="2" xfId="0" applyBorder="1" applyFill="1" applyFont="1" applyNumberFormat="1"/>
    <xf borderId="0" fillId="0" fontId="4" numFmtId="0" xfId="0" applyFont="1"/>
    <xf borderId="2" fillId="3" fontId="2" numFmtId="0" xfId="0" applyBorder="1" applyFill="1" applyFont="1"/>
    <xf borderId="0" fillId="0" fontId="1" numFmtId="0" xfId="0" applyAlignment="1" applyFont="1">
      <alignment horizontal="center"/>
    </xf>
    <xf borderId="3" fillId="4" fontId="5" numFmtId="0" xfId="0" applyAlignment="1" applyBorder="1" applyFill="1" applyFont="1">
      <alignment horizontal="center"/>
    </xf>
    <xf borderId="4" fillId="0" fontId="6" numFmtId="0" xfId="0" applyBorder="1" applyFont="1"/>
    <xf borderId="0" fillId="0" fontId="1" numFmtId="2" xfId="0" applyAlignment="1" applyFont="1" applyNumberFormat="1">
      <alignment horizontal="center" vertical="center"/>
    </xf>
    <xf borderId="0" fillId="0" fontId="7" numFmtId="0" xfId="0" applyAlignment="1" applyFont="1">
      <alignment horizontal="center"/>
    </xf>
    <xf borderId="3" fillId="5" fontId="4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3" fillId="5" fontId="8" numFmtId="0" xfId="0" applyAlignment="1" applyBorder="1" applyFill="1" applyFont="1">
      <alignment horizontal="center"/>
    </xf>
    <xf borderId="0" fillId="0" fontId="9" numFmtId="0" xfId="0" applyFont="1"/>
    <xf borderId="0" fillId="0" fontId="9" numFmtId="2" xfId="0" applyAlignment="1" applyFont="1" applyNumberFormat="1">
      <alignment horizontal="center"/>
    </xf>
    <xf borderId="0" fillId="0" fontId="4" numFmtId="164" xfId="0" applyAlignment="1" applyFont="1" applyNumberFormat="1">
      <alignment horizontal="left"/>
    </xf>
    <xf borderId="0" fillId="0" fontId="1" numFmtId="2" xfId="0" applyFont="1" applyNumberFormat="1"/>
    <xf borderId="0" fillId="0" fontId="9" numFmtId="2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/>
    </xf>
    <xf borderId="0" fillId="0" fontId="9" numFmtId="2" xfId="0" applyAlignment="1" applyFont="1" applyNumberFormat="1">
      <alignment vertical="center"/>
    </xf>
    <xf borderId="5" fillId="6" fontId="10" numFmtId="0" xfId="0" applyAlignment="1" applyBorder="1" applyFill="1" applyFont="1">
      <alignment horizontal="right"/>
    </xf>
    <xf borderId="0" fillId="0" fontId="11" numFmtId="0" xfId="0" applyFont="1"/>
    <xf borderId="0" fillId="0" fontId="12" numFmtId="0" xfId="0" applyAlignment="1" applyFont="1">
      <alignment horizontal="center"/>
    </xf>
    <xf borderId="0" fillId="0" fontId="11" numFmtId="2" xfId="0" applyAlignment="1" applyFont="1" applyNumberFormat="1">
      <alignment horizontal="right" vertical="center"/>
    </xf>
    <xf borderId="0" fillId="0" fontId="13" numFmtId="0" xfId="0" applyFont="1"/>
    <xf borderId="0" fillId="0" fontId="11" numFmtId="0" xfId="0" applyAlignment="1" applyFont="1">
      <alignment horizontal="left"/>
    </xf>
    <xf borderId="2" fillId="3" fontId="2" numFmtId="0" xfId="0" applyAlignment="1" applyBorder="1" applyFill="1" applyFont="1">
      <alignment horizontal="center"/>
    </xf>
    <xf borderId="0" fillId="0" fontId="4" numFmtId="0" xfId="0" applyAlignment="1" applyFont="1">
      <alignment horizontal="right"/>
    </xf>
    <xf borderId="2" fillId="7" fontId="14" numFmtId="0" xfId="0" applyBorder="1" applyFill="1" applyFont="1"/>
    <xf borderId="2" fillId="7" fontId="15" numFmtId="0" xfId="0" applyBorder="1" applyFill="1" applyFont="1"/>
    <xf borderId="0" fillId="0" fontId="16" numFmtId="0" xfId="0" applyFont="1"/>
    <xf borderId="3" fillId="8" fontId="2" numFmtId="0" xfId="0" applyAlignment="1" applyBorder="1" applyFill="1" applyFont="1">
      <alignment horizontal="center"/>
    </xf>
    <xf borderId="0" fillId="0" fontId="17" numFmtId="0" xfId="0" applyFont="1"/>
    <xf borderId="0" fillId="0" fontId="3" numFmtId="0" xfId="0" applyAlignment="1" applyFont="1">
      <alignment horizontal="center"/>
    </xf>
    <xf borderId="0" fillId="0" fontId="4" numFmtId="2" xfId="0" applyAlignment="1" applyFont="1" applyNumberFormat="1">
      <alignment horizontal="left"/>
    </xf>
    <xf borderId="0" fillId="0" fontId="18" numFmtId="0" xfId="0" applyFont="1"/>
    <xf borderId="1" fillId="8" fontId="19" numFmtId="0" xfId="0" applyAlignment="1" applyBorder="1" applyFill="1" applyFont="1">
      <alignment horizontal="center"/>
    </xf>
    <xf borderId="1" fillId="8" fontId="20" numFmtId="0" xfId="0" applyAlignment="1" applyBorder="1" applyFill="1" applyFont="1">
      <alignment horizontal="center"/>
    </xf>
    <xf borderId="2" fillId="8" fontId="3" numFmtId="0" xfId="0" applyAlignment="1" applyBorder="1" applyFill="1" applyFont="1">
      <alignment horizontal="center"/>
    </xf>
    <xf borderId="6" fillId="6" fontId="19" numFmtId="2" xfId="0" applyAlignment="1" applyBorder="1" applyFill="1" applyFont="1" applyNumberFormat="1">
      <alignment horizontal="center"/>
    </xf>
    <xf borderId="7" fillId="0" fontId="2" numFmtId="0" xfId="0" applyBorder="1" applyFont="1"/>
    <xf borderId="0" fillId="0" fontId="9" numFmtId="2" xfId="0" applyFont="1" applyNumberFormat="1"/>
    <xf borderId="3" fillId="7" fontId="21" numFmtId="0" xfId="0" applyAlignment="1" applyBorder="1" applyFill="1" applyFont="1">
      <alignment horizontal="left"/>
    </xf>
    <xf borderId="0" fillId="0" fontId="2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0" xfId="0" applyFont="1"/>
    <xf borderId="0" fillId="0" fontId="23" numFmtId="0" xfId="0" applyFont="1"/>
    <xf borderId="0" fillId="0" fontId="9" numFmtId="0" xfId="0" applyAlignment="1" applyFont="1">
      <alignment horizontal="center"/>
    </xf>
    <xf borderId="0" fillId="0" fontId="18" numFmtId="2" xfId="0" applyFont="1" applyNumberFormat="1"/>
    <xf borderId="0" fillId="0" fontId="2" numFmtId="2" xfId="0" applyFont="1" applyNumberFormat="1"/>
    <xf borderId="5" fillId="0" fontId="24" numFmtId="0" xfId="0" applyAlignment="1" applyBorder="1" applyFont="1">
      <alignment horizontal="right"/>
    </xf>
    <xf borderId="5" fillId="0" fontId="25" numFmtId="165" xfId="0" applyAlignment="1" applyBorder="1" applyFont="1" applyNumberFormat="1">
      <alignment horizontal="right"/>
    </xf>
    <xf borderId="0" fillId="0" fontId="25" numFmtId="0" xfId="0" applyFont="1"/>
    <xf borderId="8" fillId="9" fontId="26" numFmtId="0" xfId="0" applyAlignment="1" applyBorder="1" applyFill="1" applyFont="1">
      <alignment horizontal="center" vertical="center"/>
    </xf>
    <xf borderId="9" fillId="0" fontId="6" numFmtId="0" xfId="0" applyBorder="1" applyFont="1"/>
    <xf borderId="0" fillId="0" fontId="18" numFmtId="165" xfId="0" applyFont="1" applyNumberFormat="1"/>
    <xf borderId="2" fillId="3" fontId="2" numFmtId="2" xfId="0" applyBorder="1" applyFill="1" applyFont="1" applyNumberFormat="1"/>
    <xf borderId="2" fillId="4" fontId="27" numFmtId="166" xfId="0" applyBorder="1" applyFill="1" applyFont="1" applyNumberFormat="1"/>
    <xf borderId="5" fillId="0" fontId="25" numFmtId="0" xfId="0" applyAlignment="1" applyBorder="1" applyFont="1">
      <alignment horizontal="right"/>
    </xf>
    <xf borderId="10" fillId="0" fontId="6" numFmtId="0" xfId="0" applyBorder="1" applyFont="1"/>
    <xf borderId="0" fillId="0" fontId="9" numFmtId="165" xfId="0" applyFont="1" applyNumberFormat="1"/>
    <xf borderId="1" fillId="2" fontId="12" numFmtId="0" xfId="0" applyBorder="1" applyFill="1" applyFont="1"/>
    <xf borderId="1" fillId="2" fontId="11" numFmtId="0" xfId="0" applyAlignment="1" applyBorder="1" applyFill="1" applyFont="1">
      <alignment horizontal="center"/>
    </xf>
    <xf borderId="0" fillId="0" fontId="4" numFmtId="2" xfId="0" applyFont="1" applyNumberFormat="1"/>
    <xf borderId="3" fillId="7" fontId="2" numFmtId="0" xfId="0" applyAlignment="1" applyBorder="1" applyFill="1" applyFont="1">
      <alignment horizontal="left"/>
    </xf>
    <xf borderId="11" fillId="0" fontId="18" numFmtId="0" xfId="0" applyBorder="1" applyFont="1"/>
    <xf borderId="0" fillId="0" fontId="1" numFmtId="0" xfId="0" applyAlignment="1" applyFont="1">
      <alignment horizontal="center" vertical="top"/>
    </xf>
    <xf borderId="1" fillId="2" fontId="2" numFmtId="0" xfId="0" applyAlignment="1" applyBorder="1" applyFill="1" applyFont="1">
      <alignment horizontal="right"/>
    </xf>
    <xf borderId="0" fillId="0" fontId="25" numFmtId="0" xfId="0" applyAlignment="1" applyFont="1">
      <alignment horizontal="left" vertical="top"/>
    </xf>
    <xf borderId="11" fillId="0" fontId="18" numFmtId="166" xfId="0" applyBorder="1" applyFont="1" applyNumberFormat="1"/>
    <xf borderId="6" fillId="2" fontId="28" numFmtId="2" xfId="0" applyBorder="1" applyFill="1" applyFont="1" applyNumberFormat="1"/>
    <xf borderId="0" fillId="0" fontId="12" numFmtId="0" xfId="0" applyFont="1"/>
    <xf borderId="0" fillId="0" fontId="27" numFmtId="166" xfId="0" applyFont="1" applyNumberFormat="1"/>
    <xf borderId="1" fillId="2" fontId="12" numFmtId="0" xfId="0" applyAlignment="1" applyBorder="1" applyFill="1" applyFont="1">
      <alignment horizontal="right"/>
    </xf>
    <xf borderId="0" fillId="0" fontId="11" numFmtId="1" xfId="0" applyAlignment="1" applyFont="1" applyNumberFormat="1">
      <alignment horizontal="right"/>
    </xf>
    <xf borderId="0" fillId="0" fontId="11" numFmtId="0" xfId="0" applyAlignment="1" applyFont="1">
      <alignment horizontal="right"/>
    </xf>
    <xf borderId="2" fillId="10" fontId="29" numFmtId="165" xfId="0" applyBorder="1" applyFill="1" applyFont="1" applyNumberFormat="1"/>
    <xf borderId="1" fillId="2" fontId="30" numFmtId="0" xfId="0" applyAlignment="1" applyBorder="1" applyFill="1" applyFont="1">
      <alignment horizontal="right"/>
    </xf>
    <xf borderId="1" fillId="2" fontId="2" numFmtId="0" xfId="0" applyAlignment="1" applyBorder="1" applyFill="1" applyFont="1">
      <alignment horizontal="center"/>
    </xf>
    <xf borderId="12" fillId="3" fontId="18" numFmtId="0" xfId="0" applyBorder="1" applyFill="1" applyFont="1"/>
    <xf borderId="0" fillId="0" fontId="17" numFmtId="0" xfId="0" applyAlignment="1" applyFont="1">
      <alignment horizontal="right"/>
    </xf>
    <xf borderId="0" fillId="0" fontId="3" numFmtId="0" xfId="0" applyAlignment="1" applyFont="1">
      <alignment horizontal="left"/>
    </xf>
    <xf borderId="2" fillId="3" fontId="3" numFmtId="2" xfId="0" applyBorder="1" applyFill="1" applyFont="1" applyNumberFormat="1"/>
    <xf borderId="2" fillId="4" fontId="27" numFmtId="167" xfId="0" applyBorder="1" applyFill="1" applyFont="1" applyNumberFormat="1"/>
    <xf borderId="13" fillId="0" fontId="18" numFmtId="0" xfId="0" applyBorder="1" applyFont="1"/>
    <xf borderId="0" fillId="0" fontId="17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25" numFmtId="0" xfId="0" applyAlignment="1" applyFont="1">
      <alignment horizontal="right"/>
    </xf>
    <xf borderId="0" fillId="0" fontId="1" numFmtId="2" xfId="0" applyAlignment="1" applyFont="1" applyNumberFormat="1">
      <alignment horizontal="left"/>
    </xf>
    <xf borderId="0" fillId="0" fontId="3" numFmtId="2" xfId="0" applyFont="1" applyNumberFormat="1"/>
    <xf borderId="0" fillId="0" fontId="3" numFmtId="168" xfId="0" applyAlignment="1" applyFont="1" applyNumberFormat="1">
      <alignment horizontal="left"/>
    </xf>
    <xf borderId="0" fillId="0" fontId="2" numFmtId="0" xfId="0" applyAlignment="1" applyFont="1">
      <alignment horizontal="center"/>
    </xf>
    <xf borderId="0" fillId="0" fontId="27" numFmtId="2" xfId="0" applyFont="1" applyNumberFormat="1"/>
    <xf borderId="3" fillId="7" fontId="4" numFmtId="0" xfId="0" applyAlignment="1" applyBorder="1" applyFill="1" applyFont="1">
      <alignment horizontal="center"/>
    </xf>
    <xf borderId="0" fillId="0" fontId="4" numFmtId="1" xfId="0" applyAlignment="1" applyFont="1" applyNumberFormat="1">
      <alignment horizontal="left"/>
    </xf>
    <xf borderId="1" fillId="2" fontId="2" numFmtId="2" xfId="0" applyAlignment="1" applyBorder="1" applyFill="1" applyFont="1" applyNumberFormat="1">
      <alignment horizontal="right"/>
    </xf>
    <xf borderId="0" fillId="0" fontId="4" numFmtId="1" xfId="0" applyFont="1" applyNumberFormat="1"/>
    <xf borderId="0" fillId="0" fontId="31" numFmtId="0" xfId="0" applyFont="1"/>
    <xf borderId="5" fillId="6" fontId="10" numFmtId="167" xfId="0" applyAlignment="1" applyBorder="1" applyFill="1" applyFont="1" applyNumberFormat="1">
      <alignment horizontal="right"/>
    </xf>
    <xf borderId="2" fillId="9" fontId="25" numFmtId="0" xfId="0" applyBorder="1" applyFill="1" applyFont="1"/>
    <xf borderId="5" fillId="6" fontId="10" numFmtId="165" xfId="0" applyAlignment="1" applyBorder="1" applyFill="1" applyFont="1" applyNumberFormat="1">
      <alignment horizontal="right"/>
    </xf>
    <xf borderId="0" fillId="0" fontId="1" numFmtId="165" xfId="0" applyFont="1" applyNumberFormat="1"/>
    <xf borderId="0" fillId="0" fontId="19" numFmtId="0" xfId="0" applyAlignment="1" applyFont="1">
      <alignment horizontal="right"/>
    </xf>
    <xf borderId="0" fillId="0" fontId="18" numFmtId="0" xfId="0" applyAlignment="1" applyFont="1">
      <alignment horizontal="right"/>
    </xf>
    <xf borderId="0" fillId="0" fontId="25" numFmtId="0" xfId="0" applyAlignment="1" applyFont="1">
      <alignment horizontal="center"/>
    </xf>
    <xf borderId="0" fillId="0" fontId="23" numFmtId="0" xfId="0" applyAlignment="1" applyFont="1">
      <alignment horizontal="center"/>
    </xf>
    <xf borderId="2" fillId="3" fontId="12" numFmtId="164" xfId="0" applyBorder="1" applyFill="1" applyFont="1" applyNumberFormat="1"/>
    <xf borderId="7" fillId="0" fontId="29" numFmtId="0" xfId="0" applyAlignment="1" applyBorder="1" applyFont="1">
      <alignment horizontal="right" vertical="center"/>
    </xf>
    <xf borderId="7" fillId="0" fontId="29" numFmtId="2" xfId="0" applyBorder="1" applyFont="1" applyNumberFormat="1"/>
    <xf borderId="0" fillId="0" fontId="27" numFmtId="0" xfId="0" applyFont="1"/>
    <xf borderId="7" fillId="0" fontId="29" numFmtId="0" xfId="0" applyAlignment="1" applyBorder="1" applyFont="1">
      <alignment horizontal="right"/>
    </xf>
    <xf borderId="14" fillId="0" fontId="32" numFmtId="0" xfId="0" applyBorder="1" applyFont="1"/>
    <xf borderId="14" fillId="0" fontId="32" numFmtId="2" xfId="0" applyBorder="1" applyFont="1" applyNumberFormat="1"/>
    <xf borderId="6" fillId="11" fontId="29" numFmtId="2" xfId="0" applyBorder="1" applyFill="1" applyFont="1" applyNumberFormat="1"/>
    <xf borderId="0" fillId="0" fontId="33" numFmtId="0" xfId="0" applyFont="1"/>
    <xf borderId="2" fillId="3" fontId="25" numFmtId="2" xfId="0" applyBorder="1" applyFill="1" applyFont="1" applyNumberFormat="1"/>
    <xf borderId="2" fillId="3" fontId="25" numFmtId="164" xfId="0" applyBorder="1" applyFill="1" applyFont="1" applyNumberFormat="1"/>
    <xf borderId="2" fillId="4" fontId="27" numFmtId="2" xfId="0" applyBorder="1" applyFill="1" applyFont="1" applyNumberFormat="1"/>
    <xf borderId="0" fillId="0" fontId="29" numFmtId="0" xfId="0" applyAlignment="1" applyFont="1">
      <alignment horizontal="right"/>
    </xf>
    <xf borderId="0" fillId="0" fontId="25" numFmtId="2" xfId="0" applyFont="1" applyNumberFormat="1"/>
    <xf borderId="0" fillId="0" fontId="34" numFmtId="0" xfId="0" applyAlignment="1" applyFont="1">
      <alignment horizontal="right"/>
    </xf>
    <xf borderId="2" fillId="3" fontId="25" numFmtId="0" xfId="0" applyBorder="1" applyFill="1" applyFont="1"/>
    <xf borderId="2" fillId="11" fontId="3" numFmtId="2" xfId="0" applyBorder="1" applyFill="1" applyFont="1" applyNumberFormat="1"/>
    <xf borderId="5" fillId="6" fontId="35" numFmtId="0" xfId="0" applyAlignment="1" applyBorder="1" applyFill="1" applyFont="1">
      <alignment horizontal="right"/>
    </xf>
    <xf borderId="0" fillId="0" fontId="12" numFmtId="0" xfId="0" applyAlignment="1" applyFont="1">
      <alignment horizontal="right"/>
    </xf>
    <xf borderId="0" fillId="0" fontId="36" numFmtId="0" xfId="0" applyFont="1"/>
    <xf borderId="0" fillId="0" fontId="19" numFmtId="0" xfId="0" applyFont="1"/>
    <xf borderId="0" fillId="0" fontId="37" numFmtId="0" xfId="0" applyAlignment="1" applyFont="1">
      <alignment horizontal="right"/>
    </xf>
    <xf borderId="2" fillId="6" fontId="27" numFmtId="165" xfId="0" applyBorder="1" applyFill="1" applyFont="1" applyNumberFormat="1"/>
    <xf borderId="0" fillId="0" fontId="27" numFmtId="165" xfId="0" applyFont="1" applyNumberFormat="1"/>
    <xf borderId="2" fillId="12" fontId="25" numFmtId="2" xfId="0" applyBorder="1" applyFill="1" applyFont="1" applyNumberFormat="1"/>
    <xf borderId="5" fillId="6" fontId="10" numFmtId="2" xfId="0" applyAlignment="1" applyBorder="1" applyFill="1" applyFont="1" applyNumberFormat="1">
      <alignment horizontal="right"/>
    </xf>
    <xf borderId="2" fillId="3" fontId="1" numFmtId="0" xfId="0" applyAlignment="1" applyBorder="1" applyFill="1" applyFont="1">
      <alignment horizontal="center"/>
    </xf>
    <xf borderId="2" fillId="3" fontId="1" numFmtId="2" xfId="0" applyBorder="1" applyFill="1" applyFont="1" applyNumberFormat="1"/>
    <xf borderId="0" fillId="0" fontId="2" numFmtId="2" xfId="0" applyAlignment="1" applyFont="1" applyNumberFormat="1">
      <alignment horizontal="right"/>
    </xf>
    <xf borderId="14" fillId="0" fontId="38" numFmtId="2" xfId="0" applyBorder="1" applyFont="1" applyNumberFormat="1"/>
    <xf borderId="0" fillId="0" fontId="2" numFmtId="165" xfId="0" applyAlignment="1" applyFont="1" applyNumberFormat="1">
      <alignment horizontal="right"/>
    </xf>
    <xf borderId="0" fillId="0" fontId="3" numFmtId="165" xfId="0" applyFont="1" applyNumberFormat="1"/>
    <xf borderId="3" fillId="8" fontId="2" numFmtId="0" xfId="0" applyAlignment="1" applyBorder="1" applyFill="1" applyFont="1">
      <alignment horizontal="left"/>
    </xf>
    <xf borderId="2" fillId="3" fontId="1" numFmtId="0" xfId="0" applyBorder="1" applyFill="1" applyFont="1"/>
    <xf borderId="0" fillId="0" fontId="1" numFmtId="2" xfId="0" applyAlignment="1" applyFont="1" applyNumberFormat="1">
      <alignment horizontal="right"/>
    </xf>
    <xf borderId="2" fillId="13" fontId="3" numFmtId="2" xfId="0" applyBorder="1" applyFill="1" applyFont="1" applyNumberFormat="1"/>
    <xf borderId="2" fillId="13" fontId="27" numFmtId="2" xfId="0" applyBorder="1" applyFill="1" applyFont="1" applyNumberFormat="1"/>
    <xf borderId="2" fillId="14" fontId="2" numFmtId="2" xfId="0" applyBorder="1" applyFill="1" applyFont="1" applyNumberFormat="1"/>
    <xf borderId="2" fillId="15" fontId="2" numFmtId="0" xfId="0" applyAlignment="1" applyBorder="1" applyFill="1" applyFont="1">
      <alignment horizontal="center"/>
    </xf>
    <xf borderId="3" fillId="9" fontId="2" numFmtId="0" xfId="0" applyAlignment="1" applyBorder="1" applyFill="1" applyFont="1">
      <alignment horizontal="center"/>
    </xf>
    <xf borderId="3" fillId="3" fontId="1" numFmtId="0" xfId="0" applyAlignment="1" applyBorder="1" applyFill="1" applyFont="1">
      <alignment horizontal="center"/>
    </xf>
    <xf borderId="3" fillId="9" fontId="2" numFmtId="2" xfId="0" applyAlignment="1" applyBorder="1" applyFill="1" applyFont="1" applyNumberFormat="1">
      <alignment horizontal="center"/>
    </xf>
    <xf borderId="0" fillId="0" fontId="39" numFmtId="2" xfId="0" applyFont="1" applyNumberFormat="1"/>
    <xf borderId="5" fillId="6" fontId="10" numFmtId="0" xfId="0" applyBorder="1" applyFill="1" applyFont="1"/>
    <xf borderId="5" fillId="6" fontId="10" numFmtId="0" xfId="0" applyAlignment="1" applyBorder="1" applyFill="1" applyFont="1">
      <alignment horizontal="center"/>
    </xf>
    <xf borderId="5" fillId="6" fontId="10" numFmtId="2" xfId="0" applyBorder="1" applyFill="1" applyFont="1" applyNumberFormat="1"/>
    <xf borderId="2" fillId="13" fontId="39" numFmtId="2" xfId="0" applyBorder="1" applyFill="1" applyFont="1" applyNumberFormat="1"/>
    <xf borderId="3" fillId="3" fontId="2" numFmtId="0" xfId="0" applyAlignment="1" applyBorder="1" applyFill="1" applyFont="1">
      <alignment horizontal="center"/>
    </xf>
    <xf borderId="3" fillId="8" fontId="40" numFmtId="0" xfId="0" applyAlignment="1" applyBorder="1" applyFill="1" applyFont="1">
      <alignment horizontal="center"/>
    </xf>
    <xf borderId="3" fillId="4" fontId="41" numFmtId="0" xfId="0" applyAlignment="1" applyBorder="1" applyFill="1" applyFont="1">
      <alignment horizontal="center"/>
    </xf>
    <xf borderId="0" fillId="0" fontId="27" numFmtId="164" xfId="0" applyFont="1" applyNumberFormat="1"/>
    <xf borderId="3" fillId="11" fontId="25" numFmtId="0" xfId="0" applyAlignment="1" applyBorder="1" applyFill="1" applyFont="1">
      <alignment horizontal="center"/>
    </xf>
    <xf borderId="5" fillId="6" fontId="10" numFmtId="2" xfId="0" applyAlignment="1" applyBorder="1" applyFill="1" applyFont="1" applyNumberFormat="1">
      <alignment horizontal="center"/>
    </xf>
    <xf borderId="3" fillId="11" fontId="2" numFmtId="0" xfId="0" applyAlignment="1" applyBorder="1" applyFill="1" applyFont="1">
      <alignment horizontal="center"/>
    </xf>
    <xf borderId="3" fillId="11" fontId="19" numFmtId="0" xfId="0" applyAlignment="1" applyBorder="1" applyFill="1" applyFont="1">
      <alignment horizontal="center"/>
    </xf>
    <xf borderId="2" fillId="11" fontId="42" numFmtId="0" xfId="0" applyAlignment="1" applyBorder="1" applyFill="1" applyFont="1">
      <alignment horizontal="right"/>
    </xf>
    <xf borderId="2" fillId="11" fontId="2" numFmtId="2" xfId="0" applyAlignment="1" applyBorder="1" applyFill="1" applyFont="1" applyNumberFormat="1">
      <alignment horizontal="center"/>
    </xf>
    <xf borderId="2" fillId="11" fontId="42" numFmtId="2" xfId="0" applyAlignment="1" applyBorder="1" applyFill="1" applyFont="1" applyNumberFormat="1">
      <alignment horizontal="center"/>
    </xf>
    <xf borderId="2" fillId="11" fontId="1" numFmtId="2" xfId="0" applyAlignment="1" applyBorder="1" applyFill="1" applyFont="1" applyNumberFormat="1">
      <alignment horizontal="center"/>
    </xf>
    <xf borderId="0" fillId="0" fontId="27" numFmtId="0" xfId="0" applyAlignment="1" applyFont="1">
      <alignment horizontal="right"/>
    </xf>
    <xf borderId="3" fillId="12" fontId="2" numFmtId="0" xfId="0" applyAlignment="1" applyBorder="1" applyFill="1" applyFont="1">
      <alignment horizontal="center"/>
    </xf>
    <xf borderId="1" fillId="2" fontId="2" numFmtId="2" xfId="0" applyAlignment="1" applyBorder="1" applyFill="1" applyFont="1" applyNumberFormat="1">
      <alignment horizontal="center"/>
    </xf>
    <xf borderId="0" fillId="0" fontId="3" numFmtId="2" xfId="0" applyAlignment="1" applyFont="1" applyNumberFormat="1">
      <alignment horizontal="center"/>
    </xf>
    <xf borderId="2" fillId="11" fontId="43" numFmtId="0" xfId="0" applyBorder="1" applyFill="1" applyFont="1"/>
    <xf borderId="2" fillId="11" fontId="3" numFmtId="0" xfId="0" applyBorder="1" applyFill="1" applyFont="1"/>
    <xf borderId="7" fillId="0" fontId="12" numFmtId="0" xfId="0" applyAlignment="1" applyBorder="1" applyFont="1">
      <alignment horizontal="center"/>
    </xf>
    <xf borderId="7" fillId="0" fontId="25" numFmtId="0" xfId="0" applyAlignment="1" applyBorder="1" applyFont="1">
      <alignment horizontal="center"/>
    </xf>
    <xf borderId="7" fillId="0" fontId="25" numFmtId="2" xfId="0" applyAlignment="1" applyBorder="1" applyFont="1" applyNumberFormat="1">
      <alignment horizontal="center"/>
    </xf>
    <xf borderId="0" fillId="0" fontId="43" numFmtId="2" xfId="0" applyFont="1" applyNumberFormat="1"/>
    <xf borderId="7" fillId="0" fontId="18" numFmtId="2" xfId="0" applyAlignment="1" applyBorder="1" applyFont="1" applyNumberFormat="1">
      <alignment horizontal="center"/>
    </xf>
    <xf borderId="0" fillId="0" fontId="19" numFmtId="0" xfId="0" applyAlignment="1" applyFont="1">
      <alignment horizontal="center"/>
    </xf>
    <xf borderId="7" fillId="0" fontId="29" numFmtId="0" xfId="0" applyBorder="1" applyFont="1"/>
    <xf borderId="15" fillId="2" fontId="44" numFmtId="0" xfId="0" applyAlignment="1" applyBorder="1" applyFill="1" applyFont="1">
      <alignment horizontal="center"/>
    </xf>
    <xf borderId="16" fillId="0" fontId="6" numFmtId="0" xfId="0" applyBorder="1" applyFont="1"/>
    <xf borderId="1" fillId="2" fontId="45" numFmtId="0" xfId="0" applyAlignment="1" applyBorder="1" applyFill="1" applyFont="1">
      <alignment horizontal="center"/>
    </xf>
    <xf borderId="1" fillId="2" fontId="46" numFmtId="2" xfId="0" applyAlignment="1" applyBorder="1" applyFill="1" applyFont="1" applyNumberFormat="1">
      <alignment horizontal="center"/>
    </xf>
    <xf borderId="15" fillId="2" fontId="46" numFmtId="0" xfId="0" applyAlignment="1" applyBorder="1" applyFill="1" applyFont="1">
      <alignment horizontal="center"/>
    </xf>
    <xf borderId="0" fillId="0" fontId="18" numFmtId="0" xfId="0" applyAlignment="1" applyFont="1">
      <alignment horizontal="center"/>
    </xf>
    <xf borderId="3" fillId="16" fontId="47" numFmtId="0" xfId="0" applyAlignment="1" applyBorder="1" applyFill="1" applyFont="1">
      <alignment horizontal="center"/>
    </xf>
    <xf borderId="3" fillId="17" fontId="48" numFmtId="0" xfId="0" applyAlignment="1" applyBorder="1" applyFill="1" applyFont="1">
      <alignment horizontal="center"/>
    </xf>
    <xf borderId="2" fillId="18" fontId="3" numFmtId="2" xfId="0" applyBorder="1" applyFill="1" applyFont="1" applyNumberFormat="1"/>
    <xf borderId="0" fillId="0" fontId="27" numFmtId="2" xfId="0" applyAlignment="1" applyFont="1" applyNumberFormat="1">
      <alignment horizontal="left"/>
    </xf>
    <xf borderId="0" fillId="0" fontId="18" numFmtId="164" xfId="0" applyAlignment="1" applyFont="1" applyNumberFormat="1">
      <alignment horizontal="left"/>
    </xf>
    <xf borderId="0" fillId="0" fontId="27" numFmtId="0" xfId="0" applyAlignment="1" applyFont="1">
      <alignment horizontal="left"/>
    </xf>
    <xf borderId="0" fillId="0" fontId="39" numFmtId="0" xfId="0" applyAlignment="1" applyFont="1">
      <alignment horizontal="left"/>
    </xf>
    <xf borderId="5" fillId="6" fontId="49" numFmtId="2" xfId="0" applyAlignment="1" applyBorder="1" applyFill="1" applyFont="1" applyNumberFormat="1">
      <alignment horizontal="center"/>
    </xf>
    <xf borderId="0" fillId="0" fontId="50" numFmtId="2" xfId="0" applyAlignment="1" applyFont="1" applyNumberFormat="1">
      <alignment horizontal="center"/>
    </xf>
    <xf borderId="5" fillId="6" fontId="51" numFmtId="2" xfId="0" applyAlignment="1" applyBorder="1" applyFill="1" applyFont="1" applyNumberFormat="1">
      <alignment horizontal="center"/>
    </xf>
    <xf borderId="0" fillId="0" fontId="18" numFmtId="2" xfId="0" applyAlignment="1" applyFont="1" applyNumberFormat="1">
      <alignment horizontal="left"/>
    </xf>
    <xf borderId="5" fillId="6" fontId="49" numFmtId="164" xfId="0" applyAlignment="1" applyBorder="1" applyFill="1" applyFont="1" applyNumberFormat="1">
      <alignment horizontal="center"/>
    </xf>
    <xf borderId="2" fillId="3" fontId="2" numFmtId="0" xfId="0" applyAlignment="1" applyBorder="1" applyFill="1" applyFont="1">
      <alignment horizontal="right"/>
    </xf>
    <xf borderId="2" fillId="14" fontId="2" numFmtId="0" xfId="0" applyAlignment="1" applyBorder="1" applyFill="1" applyFont="1">
      <alignment horizontal="right"/>
    </xf>
    <xf borderId="0" fillId="0" fontId="52" numFmtId="0" xfId="0" applyFont="1"/>
    <xf borderId="2" fillId="14" fontId="27" numFmtId="0" xfId="0" applyBorder="1" applyFill="1" applyFont="1"/>
    <xf borderId="0" fillId="0" fontId="2" numFmtId="164" xfId="0" applyFont="1" applyNumberFormat="1"/>
    <xf borderId="0" fillId="0" fontId="25" numFmtId="164" xfId="0" applyFont="1" applyNumberFormat="1"/>
    <xf borderId="0" fillId="0" fontId="8" numFmtId="0" xfId="0" applyAlignment="1" applyFont="1">
      <alignment horizontal="left"/>
    </xf>
    <xf borderId="0" fillId="0" fontId="8" numFmtId="0" xfId="0" applyFont="1"/>
    <xf borderId="0" fillId="0" fontId="53" numFmtId="0" xfId="0" applyFont="1"/>
    <xf borderId="0" fillId="0" fontId="54" numFmtId="0" xfId="0" applyFont="1"/>
    <xf borderId="0" fillId="0" fontId="52" numFmtId="0" xfId="0" applyAlignment="1" applyFont="1">
      <alignment horizontal="center"/>
    </xf>
    <xf borderId="14" fillId="0" fontId="38" numFmtId="168" xfId="0" applyAlignment="1" applyBorder="1" applyFont="1" applyNumberFormat="1">
      <alignment horizontal="center"/>
    </xf>
    <xf borderId="14" fillId="0" fontId="38" numFmtId="2" xfId="0" applyAlignment="1" applyBorder="1" applyFont="1" applyNumberFormat="1">
      <alignment horizontal="center"/>
    </xf>
    <xf borderId="0" fillId="0" fontId="19" numFmtId="0" xfId="0" applyAlignment="1" applyFont="1">
      <alignment horizontal="left"/>
    </xf>
    <xf borderId="2" fillId="9" fontId="2" numFmtId="0" xfId="0" applyBorder="1" applyFill="1" applyFont="1"/>
    <xf borderId="2" fillId="9" fontId="2" numFmtId="166" xfId="0" applyBorder="1" applyFill="1" applyFont="1" applyNumberFormat="1"/>
    <xf borderId="2" fillId="11" fontId="2" numFmtId="2" xfId="0" applyAlignment="1" applyBorder="1" applyFill="1" applyFont="1" applyNumberFormat="1">
      <alignment horizontal="left"/>
    </xf>
    <xf borderId="0" fillId="0" fontId="55" numFmtId="0" xfId="0" applyAlignment="1" applyFont="1">
      <alignment horizontal="center"/>
    </xf>
    <xf borderId="2" fillId="11" fontId="34" numFmtId="0" xfId="0" applyAlignment="1" applyBorder="1" applyFill="1" applyFont="1">
      <alignment horizontal="center"/>
    </xf>
    <xf borderId="6" fillId="19" fontId="2" numFmtId="2" xfId="0" applyBorder="1" applyFill="1" applyFont="1" applyNumberFormat="1"/>
    <xf borderId="2" fillId="9" fontId="56" numFmtId="0" xfId="0" applyBorder="1" applyFill="1" applyFont="1"/>
    <xf borderId="0" fillId="0" fontId="17" numFmtId="0" xfId="0" applyAlignment="1" applyFont="1">
      <alignment horizontal="center"/>
    </xf>
    <xf borderId="2" fillId="3" fontId="4" numFmtId="0" xfId="0" applyBorder="1" applyFill="1" applyFont="1"/>
    <xf borderId="2" fillId="20" fontId="2" numFmtId="164" xfId="0" applyAlignment="1" applyBorder="1" applyFill="1" applyFont="1" applyNumberFormat="1">
      <alignment horizontal="left"/>
    </xf>
    <xf borderId="6" fillId="15" fontId="2" numFmtId="0" xfId="0" applyBorder="1" applyFill="1" applyFont="1"/>
    <xf borderId="6" fillId="15" fontId="2" numFmtId="0" xfId="0" applyAlignment="1" applyBorder="1" applyFill="1" applyFont="1">
      <alignment horizontal="center"/>
    </xf>
    <xf borderId="6" fillId="15" fontId="2" numFmtId="0" xfId="0" applyAlignment="1" applyBorder="1" applyFill="1" applyFont="1">
      <alignment horizontal="left"/>
    </xf>
    <xf borderId="6" fillId="15" fontId="2" numFmtId="164" xfId="0" applyAlignment="1" applyBorder="1" applyFill="1" applyFont="1" applyNumberFormat="1">
      <alignment horizontal="left"/>
    </xf>
    <xf borderId="17" fillId="0" fontId="17" numFmtId="0" xfId="0" applyAlignment="1" applyBorder="1" applyFont="1">
      <alignment horizontal="center"/>
    </xf>
    <xf borderId="17" fillId="0" fontId="6" numFmtId="0" xfId="0" applyBorder="1" applyFont="1"/>
    <xf borderId="17" fillId="0" fontId="2" numFmtId="0" xfId="0" applyAlignment="1" applyBorder="1" applyFont="1">
      <alignment horizontal="center"/>
    </xf>
    <xf borderId="17" fillId="0" fontId="27" numFmtId="0" xfId="0" applyAlignment="1" applyBorder="1" applyFont="1">
      <alignment horizontal="center"/>
    </xf>
    <xf borderId="0" fillId="0" fontId="57" numFmtId="0" xfId="0" applyAlignment="1" applyFont="1">
      <alignment horizontal="right"/>
    </xf>
    <xf borderId="17" fillId="0" fontId="8" numFmtId="0" xfId="0" applyAlignment="1" applyBorder="1" applyFont="1">
      <alignment horizontal="left"/>
    </xf>
    <xf borderId="0" fillId="0" fontId="52" numFmtId="0" xfId="0" applyAlignment="1" applyFont="1">
      <alignment horizontal="left"/>
    </xf>
    <xf borderId="3" fillId="20" fontId="11" numFmtId="0" xfId="0" applyAlignment="1" applyBorder="1" applyFill="1" applyFont="1">
      <alignment horizontal="center"/>
    </xf>
    <xf borderId="2" fillId="20" fontId="58" numFmtId="0" xfId="0" applyAlignment="1" applyBorder="1" applyFill="1" applyFont="1">
      <alignment horizontal="center"/>
    </xf>
    <xf borderId="2" fillId="20" fontId="59" numFmtId="0" xfId="0" applyAlignment="1" applyBorder="1" applyFill="1" applyFont="1">
      <alignment horizontal="center"/>
    </xf>
    <xf borderId="3" fillId="17" fontId="60" numFmtId="0" xfId="0" applyAlignment="1" applyBorder="1" applyFill="1" applyFont="1">
      <alignment horizontal="center"/>
    </xf>
    <xf borderId="3" fillId="17" fontId="25" numFmtId="0" xfId="0" applyAlignment="1" applyBorder="1" applyFill="1" applyFont="1">
      <alignment horizontal="center" vertical="center"/>
    </xf>
    <xf borderId="2" fillId="20" fontId="61" numFmtId="0" xfId="0" applyAlignment="1" applyBorder="1" applyFill="1" applyFont="1">
      <alignment horizontal="right"/>
    </xf>
    <xf borderId="2" fillId="20" fontId="2" numFmtId="0" xfId="0" applyAlignment="1" applyBorder="1" applyFill="1" applyFont="1">
      <alignment horizontal="center"/>
    </xf>
    <xf borderId="0" fillId="0" fontId="19" numFmtId="2" xfId="0" applyAlignment="1" applyFont="1" applyNumberFormat="1">
      <alignment horizontal="center"/>
    </xf>
    <xf borderId="2" fillId="3" fontId="3" numFmtId="0" xfId="0" applyBorder="1" applyFill="1" applyFont="1"/>
    <xf borderId="2" fillId="20" fontId="61" numFmtId="16" xfId="0" applyAlignment="1" applyBorder="1" applyFill="1" applyFont="1" applyNumberFormat="1">
      <alignment horizontal="right"/>
    </xf>
    <xf borderId="3" fillId="9" fontId="62" numFmtId="0" xfId="0" applyAlignment="1" applyBorder="1" applyFill="1" applyFont="1">
      <alignment horizontal="center"/>
    </xf>
    <xf borderId="0" fillId="0" fontId="56" numFmtId="0" xfId="0" applyFont="1"/>
    <xf borderId="3" fillId="20" fontId="19" numFmtId="0" xfId="0" applyAlignment="1" applyBorder="1" applyFill="1" applyFont="1">
      <alignment horizontal="center"/>
    </xf>
    <xf borderId="0" fillId="0" fontId="3" numFmtId="1" xfId="0" applyFont="1" applyNumberFormat="1"/>
    <xf borderId="6" fillId="20" fontId="2" numFmtId="0" xfId="0" applyBorder="1" applyFill="1" applyFont="1"/>
    <xf borderId="6" fillId="20" fontId="2" numFmtId="0" xfId="0" applyAlignment="1" applyBorder="1" applyFill="1" applyFont="1">
      <alignment horizontal="center"/>
    </xf>
    <xf borderId="6" fillId="20" fontId="2" numFmtId="0" xfId="0" applyAlignment="1" applyBorder="1" applyFill="1" applyFont="1">
      <alignment horizontal="left"/>
    </xf>
    <xf borderId="2" fillId="14" fontId="27" numFmtId="2" xfId="0" applyAlignment="1" applyBorder="1" applyFill="1" applyFont="1" applyNumberFormat="1">
      <alignment horizontal="right"/>
    </xf>
    <xf borderId="0" fillId="0" fontId="53" numFmtId="2" xfId="0" applyFont="1" applyNumberFormat="1"/>
    <xf borderId="2" fillId="17" fontId="2" numFmtId="0" xfId="0" applyBorder="1" applyFill="1" applyFont="1"/>
    <xf borderId="2" fillId="17" fontId="2" numFmtId="166" xfId="0" applyBorder="1" applyFill="1" applyFont="1" applyNumberFormat="1"/>
    <xf borderId="2" fillId="14" fontId="27" numFmtId="0" xfId="0" applyAlignment="1" applyBorder="1" applyFill="1" applyFont="1">
      <alignment horizontal="right"/>
    </xf>
    <xf borderId="0" fillId="0" fontId="63" numFmtId="0" xfId="0" applyFont="1"/>
    <xf borderId="6" fillId="21" fontId="2" numFmtId="2" xfId="0" applyBorder="1" applyFill="1" applyFont="1" applyNumberFormat="1"/>
    <xf borderId="2" fillId="17" fontId="56" numFmtId="0" xfId="0" applyBorder="1" applyFill="1" applyFont="1"/>
    <xf borderId="6" fillId="20" fontId="2" numFmtId="164" xfId="0" applyAlignment="1" applyBorder="1" applyFill="1" applyFont="1" applyNumberFormat="1">
      <alignment horizontal="lef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Series1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CALCULO!$O$83:$O$86</c:f>
            </c:numRef>
          </c:xVal>
          <c:yVal>
            <c:numRef>
              <c:f>CALCULO!$P$83:$P$86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870788"/>
        <c:axId val="1202191556"/>
      </c:scatterChart>
      <c:valAx>
        <c:axId val="2074870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02191556"/>
      </c:valAx>
      <c:valAx>
        <c:axId val="12021915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74870788"/>
        <c:majorUnit val="5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Series1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>Linear (Series1)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CALCULO!$O$84:$O$85</c:f>
            </c:numRef>
          </c:xVal>
          <c:yVal>
            <c:numRef>
              <c:f>CALCULO!$P$84:$P$85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559731"/>
        <c:axId val="1989212698"/>
      </c:scatterChart>
      <c:valAx>
        <c:axId val="1622559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89212698"/>
      </c:valAx>
      <c:valAx>
        <c:axId val="1989212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22559731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Series1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CALCULO!$O$83:$O$86</c:f>
            </c:numRef>
          </c:xVal>
          <c:yVal>
            <c:numRef>
              <c:f>CALCULO!$AG$83:$AG$86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206724"/>
        <c:axId val="1410279440"/>
      </c:scatterChart>
      <c:valAx>
        <c:axId val="1091206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10279440"/>
      </c:valAx>
      <c:valAx>
        <c:axId val="1410279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1206724"/>
        <c:majorUnit val="5.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Series1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>Linear (Series1)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CALCULO!$O$84:$O$85</c:f>
            </c:numRef>
          </c:xVal>
          <c:yVal>
            <c:numRef>
              <c:f>CALCULO!$P$84:$P$85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087691"/>
        <c:axId val="1391793980"/>
      </c:scatterChart>
      <c:valAx>
        <c:axId val="947087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91793980"/>
      </c:valAx>
      <c:valAx>
        <c:axId val="1391793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4708769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30.jpg"/><Relationship Id="rId6" Type="http://schemas.openxmlformats.org/officeDocument/2006/relationships/image" Target="../media/image36.jpg"/><Relationship Id="rId7" Type="http://schemas.openxmlformats.org/officeDocument/2006/relationships/image" Target="../media/image6.png"/><Relationship Id="rId8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jp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jpg"/><Relationship Id="rId2" Type="http://schemas.openxmlformats.org/officeDocument/2006/relationships/image" Target="../media/image3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438150</xdr:colOff>
      <xdr:row>78</xdr:row>
      <xdr:rowOff>209550</xdr:rowOff>
    </xdr:from>
    <xdr:ext cx="3343275" cy="1400175"/>
    <xdr:graphicFrame>
      <xdr:nvGraphicFramePr>
        <xdr:cNvPr id="74253036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781050</xdr:colOff>
      <xdr:row>80</xdr:row>
      <xdr:rowOff>257175</xdr:rowOff>
    </xdr:from>
    <xdr:ext cx="2333625" cy="1066800"/>
    <xdr:graphicFrame>
      <xdr:nvGraphicFramePr>
        <xdr:cNvPr id="94288860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438150</xdr:colOff>
      <xdr:row>78</xdr:row>
      <xdr:rowOff>209550</xdr:rowOff>
    </xdr:from>
    <xdr:ext cx="3124200" cy="1400175"/>
    <xdr:graphicFrame>
      <xdr:nvGraphicFramePr>
        <xdr:cNvPr id="187482397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27</xdr:col>
      <xdr:colOff>781050</xdr:colOff>
      <xdr:row>80</xdr:row>
      <xdr:rowOff>257175</xdr:rowOff>
    </xdr:from>
    <xdr:ext cx="2200275" cy="1066800"/>
    <xdr:graphicFrame>
      <xdr:nvGraphicFramePr>
        <xdr:cNvPr id="10379329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19050</xdr:colOff>
      <xdr:row>3</xdr:row>
      <xdr:rowOff>0</xdr:rowOff>
    </xdr:from>
    <xdr:ext cx="733425" cy="2238375"/>
    <xdr:sp>
      <xdr:nvSpPr>
        <xdr:cNvPr id="71" name="Shape 71"/>
        <xdr:cNvSpPr/>
      </xdr:nvSpPr>
      <xdr:spPr>
        <a:xfrm>
          <a:off x="4988813" y="2670338"/>
          <a:ext cx="714375" cy="2219325"/>
        </a:xfrm>
        <a:prstGeom prst="rect">
          <a:avLst/>
        </a:prstGeom>
        <a:blipFill rotWithShape="1">
          <a:blip r:embed="rId5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95250</xdr:colOff>
      <xdr:row>3</xdr:row>
      <xdr:rowOff>0</xdr:rowOff>
    </xdr:from>
    <xdr:ext cx="685800" cy="2219325"/>
    <xdr:sp>
      <xdr:nvSpPr>
        <xdr:cNvPr id="72" name="Shape 72"/>
        <xdr:cNvSpPr/>
      </xdr:nvSpPr>
      <xdr:spPr>
        <a:xfrm flipH="1">
          <a:off x="5012625" y="2679863"/>
          <a:ext cx="666750" cy="2200275"/>
        </a:xfrm>
        <a:prstGeom prst="rtTriangle">
          <a:avLst/>
        </a:prstGeom>
        <a:blipFill rotWithShape="1">
          <a:blip r:embed="rId5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9525</xdr:colOff>
      <xdr:row>13</xdr:row>
      <xdr:rowOff>57150</xdr:rowOff>
    </xdr:from>
    <xdr:ext cx="3695700" cy="523875"/>
    <xdr:sp>
      <xdr:nvSpPr>
        <xdr:cNvPr id="73" name="Shape 73"/>
        <xdr:cNvSpPr/>
      </xdr:nvSpPr>
      <xdr:spPr>
        <a:xfrm>
          <a:off x="3507675" y="3527588"/>
          <a:ext cx="3676650" cy="504825"/>
        </a:xfrm>
        <a:prstGeom prst="rect">
          <a:avLst/>
        </a:prstGeom>
        <a:blipFill rotWithShape="1">
          <a:blip r:embed="rId5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76200</xdr:colOff>
      <xdr:row>16</xdr:row>
      <xdr:rowOff>228600</xdr:rowOff>
    </xdr:from>
    <xdr:ext cx="3590925" cy="38100"/>
    <xdr:grpSp>
      <xdr:nvGrpSpPr>
        <xdr:cNvPr id="2" name="Shape 2"/>
        <xdr:cNvGrpSpPr/>
      </xdr:nvGrpSpPr>
      <xdr:grpSpPr>
        <a:xfrm>
          <a:off x="3550538" y="3775238"/>
          <a:ext cx="3590925" cy="9525"/>
          <a:chOff x="3550538" y="3775238"/>
          <a:chExt cx="3590925" cy="9525"/>
        </a:xfrm>
      </xdr:grpSpPr>
      <xdr:cxnSp>
        <xdr:nvCxnSpPr>
          <xdr:cNvPr id="74" name="Shape 74"/>
          <xdr:cNvCxnSpPr/>
        </xdr:nvCxnSpPr>
        <xdr:spPr>
          <a:xfrm flipH="1" rot="10800000">
            <a:off x="3550538" y="3775238"/>
            <a:ext cx="3590925" cy="95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4</xdr:col>
      <xdr:colOff>819150</xdr:colOff>
      <xdr:row>15</xdr:row>
      <xdr:rowOff>238125</xdr:rowOff>
    </xdr:from>
    <xdr:ext cx="1257300" cy="38100"/>
    <xdr:grpSp>
      <xdr:nvGrpSpPr>
        <xdr:cNvPr id="2" name="Shape 2"/>
        <xdr:cNvGrpSpPr/>
      </xdr:nvGrpSpPr>
      <xdr:grpSpPr>
        <a:xfrm>
          <a:off x="4717350" y="3780000"/>
          <a:ext cx="1257300" cy="0"/>
          <a:chOff x="4717350" y="3780000"/>
          <a:chExt cx="1257300" cy="0"/>
        </a:xfrm>
      </xdr:grpSpPr>
      <xdr:cxnSp>
        <xdr:nvCxnSpPr>
          <xdr:cNvPr id="75" name="Shape 75"/>
          <xdr:cNvCxnSpPr/>
        </xdr:nvCxnSpPr>
        <xdr:spPr>
          <a:xfrm>
            <a:off x="4717350" y="3780000"/>
            <a:ext cx="1257300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9</xdr:col>
      <xdr:colOff>285750</xdr:colOff>
      <xdr:row>13</xdr:row>
      <xdr:rowOff>19050</xdr:rowOff>
    </xdr:from>
    <xdr:ext cx="38100" cy="609600"/>
    <xdr:grpSp>
      <xdr:nvGrpSpPr>
        <xdr:cNvPr id="2" name="Shape 2"/>
        <xdr:cNvGrpSpPr/>
      </xdr:nvGrpSpPr>
      <xdr:grpSpPr>
        <a:xfrm>
          <a:off x="5346000" y="3475200"/>
          <a:ext cx="0" cy="609600"/>
          <a:chOff x="5346000" y="3475200"/>
          <a:chExt cx="0" cy="609600"/>
        </a:xfrm>
      </xdr:grpSpPr>
      <xdr:cxnSp>
        <xdr:nvCxnSpPr>
          <xdr:cNvPr id="76" name="Shape 76"/>
          <xdr:cNvCxnSpPr/>
        </xdr:nvCxnSpPr>
        <xdr:spPr>
          <a:xfrm>
            <a:off x="5346000" y="3475200"/>
            <a:ext cx="0" cy="60960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180975</xdr:colOff>
      <xdr:row>3</xdr:row>
      <xdr:rowOff>66675</xdr:rowOff>
    </xdr:from>
    <xdr:ext cx="38100" cy="2028825"/>
    <xdr:grpSp>
      <xdr:nvGrpSpPr>
        <xdr:cNvPr id="2" name="Shape 2"/>
        <xdr:cNvGrpSpPr/>
      </xdr:nvGrpSpPr>
      <xdr:grpSpPr>
        <a:xfrm>
          <a:off x="5331713" y="2765588"/>
          <a:ext cx="28575" cy="2028825"/>
          <a:chOff x="5331713" y="2765588"/>
          <a:chExt cx="28575" cy="2028825"/>
        </a:xfrm>
      </xdr:grpSpPr>
      <xdr:cxnSp>
        <xdr:nvCxnSpPr>
          <xdr:cNvPr id="77" name="Shape 77"/>
          <xdr:cNvCxnSpPr/>
        </xdr:nvCxnSpPr>
        <xdr:spPr>
          <a:xfrm>
            <a:off x="5331713" y="2765588"/>
            <a:ext cx="28575" cy="20288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704850</xdr:colOff>
      <xdr:row>2</xdr:row>
      <xdr:rowOff>180975</xdr:rowOff>
    </xdr:from>
    <xdr:ext cx="857250" cy="38100"/>
    <xdr:grpSp>
      <xdr:nvGrpSpPr>
        <xdr:cNvPr id="2" name="Shape 2"/>
        <xdr:cNvGrpSpPr/>
      </xdr:nvGrpSpPr>
      <xdr:grpSpPr>
        <a:xfrm>
          <a:off x="4917375" y="3780000"/>
          <a:ext cx="857250" cy="0"/>
          <a:chOff x="4917375" y="3780000"/>
          <a:chExt cx="857250" cy="0"/>
        </a:xfrm>
      </xdr:grpSpPr>
      <xdr:cxnSp>
        <xdr:nvCxnSpPr>
          <xdr:cNvPr id="78" name="Shape 78"/>
          <xdr:cNvCxnSpPr/>
        </xdr:nvCxnSpPr>
        <xdr:spPr>
          <a:xfrm>
            <a:off x="4917375" y="3780000"/>
            <a:ext cx="857250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57150</xdr:colOff>
      <xdr:row>11</xdr:row>
      <xdr:rowOff>19050</xdr:rowOff>
    </xdr:from>
    <xdr:ext cx="323850" cy="409575"/>
    <xdr:grpSp>
      <xdr:nvGrpSpPr>
        <xdr:cNvPr id="2" name="Shape 2"/>
        <xdr:cNvGrpSpPr/>
      </xdr:nvGrpSpPr>
      <xdr:grpSpPr>
        <a:xfrm>
          <a:off x="5150738" y="3627600"/>
          <a:ext cx="390525" cy="304800"/>
          <a:chOff x="5150738" y="3627600"/>
          <a:chExt cx="390525" cy="304800"/>
        </a:xfrm>
      </xdr:grpSpPr>
      <xdr:cxnSp>
        <xdr:nvCxnSpPr>
          <xdr:cNvPr id="79" name="Shape 79"/>
          <xdr:cNvCxnSpPr/>
        </xdr:nvCxnSpPr>
        <xdr:spPr>
          <a:xfrm flipH="1" rot="-5400000">
            <a:off x="5150738" y="3627600"/>
            <a:ext cx="390525" cy="304800"/>
          </a:xfrm>
          <a:prstGeom prst="bentConnector3">
            <a:avLst>
              <a:gd fmla="val 50000" name="adj1"/>
            </a:avLst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142875</xdr:colOff>
      <xdr:row>15</xdr:row>
      <xdr:rowOff>238125</xdr:rowOff>
    </xdr:from>
    <xdr:ext cx="1371600" cy="38100"/>
    <xdr:grpSp>
      <xdr:nvGrpSpPr>
        <xdr:cNvPr id="2" name="Shape 2"/>
        <xdr:cNvGrpSpPr/>
      </xdr:nvGrpSpPr>
      <xdr:grpSpPr>
        <a:xfrm>
          <a:off x="4660200" y="3780000"/>
          <a:ext cx="1371600" cy="0"/>
          <a:chOff x="4660200" y="3780000"/>
          <a:chExt cx="1371600" cy="0"/>
        </a:xfrm>
      </xdr:grpSpPr>
      <xdr:cxnSp>
        <xdr:nvCxnSpPr>
          <xdr:cNvPr id="16" name="Shape 16"/>
          <xdr:cNvCxnSpPr/>
        </xdr:nvCxnSpPr>
        <xdr:spPr>
          <a:xfrm>
            <a:off x="4660200" y="3780000"/>
            <a:ext cx="1371600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7</xdr:col>
      <xdr:colOff>19050</xdr:colOff>
      <xdr:row>23</xdr:row>
      <xdr:rowOff>0</xdr:rowOff>
    </xdr:from>
    <xdr:ext cx="733425" cy="2238375"/>
    <xdr:sp>
      <xdr:nvSpPr>
        <xdr:cNvPr id="80" name="Shape 80"/>
        <xdr:cNvSpPr/>
      </xdr:nvSpPr>
      <xdr:spPr>
        <a:xfrm>
          <a:off x="4988813" y="2670338"/>
          <a:ext cx="714375" cy="2219325"/>
        </a:xfrm>
        <a:prstGeom prst="rect">
          <a:avLst/>
        </a:prstGeom>
        <a:blipFill rotWithShape="1">
          <a:blip r:embed="rId5">
            <a:alphaModFix/>
          </a:blip>
          <a:tile algn="tl" flip="none" tx="0" sx="100000" ty="0" sy="100000"/>
        </a:blipFill>
        <a:ln cap="flat" cmpd="sng" w="25400">
          <a:solidFill>
            <a:srgbClr val="97480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95250</xdr:colOff>
      <xdr:row>23</xdr:row>
      <xdr:rowOff>0</xdr:rowOff>
    </xdr:from>
    <xdr:ext cx="685800" cy="2219325"/>
    <xdr:sp>
      <xdr:nvSpPr>
        <xdr:cNvPr id="72" name="Shape 72"/>
        <xdr:cNvSpPr/>
      </xdr:nvSpPr>
      <xdr:spPr>
        <a:xfrm flipH="1">
          <a:off x="5012625" y="2679863"/>
          <a:ext cx="666750" cy="2200275"/>
        </a:xfrm>
        <a:prstGeom prst="rtTriangle">
          <a:avLst/>
        </a:prstGeom>
        <a:blipFill rotWithShape="1">
          <a:blip r:embed="rId5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9525</xdr:colOff>
      <xdr:row>33</xdr:row>
      <xdr:rowOff>57150</xdr:rowOff>
    </xdr:from>
    <xdr:ext cx="3695700" cy="523875"/>
    <xdr:sp>
      <xdr:nvSpPr>
        <xdr:cNvPr id="73" name="Shape 73"/>
        <xdr:cNvSpPr/>
      </xdr:nvSpPr>
      <xdr:spPr>
        <a:xfrm>
          <a:off x="3507675" y="3527588"/>
          <a:ext cx="3676650" cy="504825"/>
        </a:xfrm>
        <a:prstGeom prst="rect">
          <a:avLst/>
        </a:prstGeom>
        <a:blipFill rotWithShape="1">
          <a:blip r:embed="rId5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36</xdr:row>
      <xdr:rowOff>171450</xdr:rowOff>
    </xdr:from>
    <xdr:ext cx="3590925" cy="38100"/>
    <xdr:grpSp>
      <xdr:nvGrpSpPr>
        <xdr:cNvPr id="2" name="Shape 2"/>
        <xdr:cNvGrpSpPr/>
      </xdr:nvGrpSpPr>
      <xdr:grpSpPr>
        <a:xfrm>
          <a:off x="3550538" y="3780000"/>
          <a:ext cx="3590925" cy="0"/>
          <a:chOff x="3550538" y="3780000"/>
          <a:chExt cx="3590925" cy="0"/>
        </a:xfrm>
      </xdr:grpSpPr>
      <xdr:cxnSp>
        <xdr:nvCxnSpPr>
          <xdr:cNvPr id="81" name="Shape 81"/>
          <xdr:cNvCxnSpPr/>
        </xdr:nvCxnSpPr>
        <xdr:spPr>
          <a:xfrm>
            <a:off x="3550538" y="3780000"/>
            <a:ext cx="359092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4</xdr:col>
      <xdr:colOff>781050</xdr:colOff>
      <xdr:row>35</xdr:row>
      <xdr:rowOff>200025</xdr:rowOff>
    </xdr:from>
    <xdr:ext cx="1257300" cy="38100"/>
    <xdr:grpSp>
      <xdr:nvGrpSpPr>
        <xdr:cNvPr id="2" name="Shape 2"/>
        <xdr:cNvGrpSpPr/>
      </xdr:nvGrpSpPr>
      <xdr:grpSpPr>
        <a:xfrm>
          <a:off x="4717350" y="3780000"/>
          <a:ext cx="1257300" cy="0"/>
          <a:chOff x="4717350" y="3780000"/>
          <a:chExt cx="1257300" cy="0"/>
        </a:xfrm>
      </xdr:grpSpPr>
      <xdr:cxnSp>
        <xdr:nvCxnSpPr>
          <xdr:cNvPr id="82" name="Shape 82"/>
          <xdr:cNvCxnSpPr/>
        </xdr:nvCxnSpPr>
        <xdr:spPr>
          <a:xfrm>
            <a:off x="4717350" y="3780000"/>
            <a:ext cx="1257300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9</xdr:col>
      <xdr:colOff>342900</xdr:colOff>
      <xdr:row>33</xdr:row>
      <xdr:rowOff>95250</xdr:rowOff>
    </xdr:from>
    <xdr:ext cx="38100" cy="466725"/>
    <xdr:grpSp>
      <xdr:nvGrpSpPr>
        <xdr:cNvPr id="2" name="Shape 2"/>
        <xdr:cNvGrpSpPr/>
      </xdr:nvGrpSpPr>
      <xdr:grpSpPr>
        <a:xfrm>
          <a:off x="5341238" y="3546638"/>
          <a:ext cx="9525" cy="466725"/>
          <a:chOff x="5341238" y="3546638"/>
          <a:chExt cx="9525" cy="466725"/>
        </a:xfrm>
      </xdr:grpSpPr>
      <xdr:cxnSp>
        <xdr:nvCxnSpPr>
          <xdr:cNvPr id="83" name="Shape 83"/>
          <xdr:cNvCxnSpPr/>
        </xdr:nvCxnSpPr>
        <xdr:spPr>
          <a:xfrm flipH="1">
            <a:off x="5341238" y="3546638"/>
            <a:ext cx="9525" cy="4667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180975</xdr:colOff>
      <xdr:row>23</xdr:row>
      <xdr:rowOff>66675</xdr:rowOff>
    </xdr:from>
    <xdr:ext cx="38100" cy="2028825"/>
    <xdr:grpSp>
      <xdr:nvGrpSpPr>
        <xdr:cNvPr id="2" name="Shape 2"/>
        <xdr:cNvGrpSpPr/>
      </xdr:nvGrpSpPr>
      <xdr:grpSpPr>
        <a:xfrm>
          <a:off x="5331713" y="2765588"/>
          <a:ext cx="28575" cy="2028825"/>
          <a:chOff x="5331713" y="2765588"/>
          <a:chExt cx="28575" cy="2028825"/>
        </a:xfrm>
      </xdr:grpSpPr>
      <xdr:cxnSp>
        <xdr:nvCxnSpPr>
          <xdr:cNvPr id="77" name="Shape 77"/>
          <xdr:cNvCxnSpPr/>
        </xdr:nvCxnSpPr>
        <xdr:spPr>
          <a:xfrm>
            <a:off x="5331713" y="2765588"/>
            <a:ext cx="28575" cy="20288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723900</xdr:colOff>
      <xdr:row>22</xdr:row>
      <xdr:rowOff>0</xdr:rowOff>
    </xdr:from>
    <xdr:ext cx="857250" cy="38100"/>
    <xdr:grpSp>
      <xdr:nvGrpSpPr>
        <xdr:cNvPr id="2" name="Shape 2"/>
        <xdr:cNvGrpSpPr/>
      </xdr:nvGrpSpPr>
      <xdr:grpSpPr>
        <a:xfrm>
          <a:off x="4917375" y="3780000"/>
          <a:ext cx="857250" cy="0"/>
          <a:chOff x="4917375" y="3780000"/>
          <a:chExt cx="857250" cy="0"/>
        </a:xfrm>
      </xdr:grpSpPr>
      <xdr:cxnSp>
        <xdr:nvCxnSpPr>
          <xdr:cNvPr id="78" name="Shape 78"/>
          <xdr:cNvCxnSpPr/>
        </xdr:nvCxnSpPr>
        <xdr:spPr>
          <a:xfrm>
            <a:off x="4917375" y="3780000"/>
            <a:ext cx="857250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57150</xdr:colOff>
      <xdr:row>31</xdr:row>
      <xdr:rowOff>19050</xdr:rowOff>
    </xdr:from>
    <xdr:ext cx="323850" cy="409575"/>
    <xdr:grpSp>
      <xdr:nvGrpSpPr>
        <xdr:cNvPr id="2" name="Shape 2"/>
        <xdr:cNvGrpSpPr/>
      </xdr:nvGrpSpPr>
      <xdr:grpSpPr>
        <a:xfrm>
          <a:off x="5150738" y="3627600"/>
          <a:ext cx="390525" cy="304800"/>
          <a:chOff x="5150738" y="3627600"/>
          <a:chExt cx="390525" cy="304800"/>
        </a:xfrm>
      </xdr:grpSpPr>
      <xdr:cxnSp>
        <xdr:nvCxnSpPr>
          <xdr:cNvPr id="79" name="Shape 79"/>
          <xdr:cNvCxnSpPr/>
        </xdr:nvCxnSpPr>
        <xdr:spPr>
          <a:xfrm flipH="1" rot="-5400000">
            <a:off x="5150738" y="3627600"/>
            <a:ext cx="390525" cy="304800"/>
          </a:xfrm>
          <a:prstGeom prst="bentConnector3">
            <a:avLst>
              <a:gd fmla="val 50000" name="adj1"/>
            </a:avLst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171450</xdr:colOff>
      <xdr:row>35</xdr:row>
      <xdr:rowOff>200025</xdr:rowOff>
    </xdr:from>
    <xdr:ext cx="1371600" cy="38100"/>
    <xdr:grpSp>
      <xdr:nvGrpSpPr>
        <xdr:cNvPr id="2" name="Shape 2"/>
        <xdr:cNvGrpSpPr/>
      </xdr:nvGrpSpPr>
      <xdr:grpSpPr>
        <a:xfrm>
          <a:off x="4660200" y="3775238"/>
          <a:ext cx="1371600" cy="9525"/>
          <a:chOff x="4660200" y="3775238"/>
          <a:chExt cx="1371600" cy="9525"/>
        </a:xfrm>
      </xdr:grpSpPr>
      <xdr:cxnSp>
        <xdr:nvCxnSpPr>
          <xdr:cNvPr id="84" name="Shape 84"/>
          <xdr:cNvCxnSpPr/>
        </xdr:nvCxnSpPr>
        <xdr:spPr>
          <a:xfrm flipH="1" rot="10800000">
            <a:off x="4660200" y="3775238"/>
            <a:ext cx="1371600" cy="95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0</xdr:colOff>
      <xdr:row>18</xdr:row>
      <xdr:rowOff>171450</xdr:rowOff>
    </xdr:from>
    <xdr:ext cx="3000375" cy="904875"/>
    <xdr:grpSp>
      <xdr:nvGrpSpPr>
        <xdr:cNvPr id="2" name="Shape 2"/>
        <xdr:cNvGrpSpPr/>
      </xdr:nvGrpSpPr>
      <xdr:grpSpPr>
        <a:xfrm>
          <a:off x="3850575" y="3332325"/>
          <a:ext cx="2990850" cy="895350"/>
          <a:chOff x="3850575" y="3332325"/>
          <a:chExt cx="2990850" cy="895350"/>
        </a:xfrm>
      </xdr:grpSpPr>
      <xdr:cxnSp>
        <xdr:nvCxnSpPr>
          <xdr:cNvPr id="85" name="Shape 85"/>
          <xdr:cNvCxnSpPr/>
        </xdr:nvCxnSpPr>
        <xdr:spPr>
          <a:xfrm flipH="1" rot="10800000">
            <a:off x="3850575" y="3332325"/>
            <a:ext cx="2990850" cy="89535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-190500</xdr:colOff>
      <xdr:row>19</xdr:row>
      <xdr:rowOff>-47625</xdr:rowOff>
    </xdr:from>
    <xdr:ext cx="2466975" cy="3419475"/>
    <xdr:sp>
      <xdr:nvSpPr>
        <xdr:cNvPr id="86" name="Shape 86"/>
        <xdr:cNvSpPr/>
      </xdr:nvSpPr>
      <xdr:spPr>
        <a:xfrm rot="-1256818">
          <a:off x="4631625" y="2232188"/>
          <a:ext cx="1428750" cy="3095625"/>
        </a:xfrm>
        <a:prstGeom prst="rtTriangle">
          <a:avLst/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19050</xdr:colOff>
      <xdr:row>43</xdr:row>
      <xdr:rowOff>0</xdr:rowOff>
    </xdr:from>
    <xdr:ext cx="733425" cy="2238375"/>
    <xdr:sp>
      <xdr:nvSpPr>
        <xdr:cNvPr id="71" name="Shape 71"/>
        <xdr:cNvSpPr/>
      </xdr:nvSpPr>
      <xdr:spPr>
        <a:xfrm>
          <a:off x="4988813" y="2670338"/>
          <a:ext cx="714375" cy="2219325"/>
        </a:xfrm>
        <a:prstGeom prst="rect">
          <a:avLst/>
        </a:prstGeom>
        <a:blipFill rotWithShape="1">
          <a:blip r:embed="rId5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95250</xdr:colOff>
      <xdr:row>43</xdr:row>
      <xdr:rowOff>0</xdr:rowOff>
    </xdr:from>
    <xdr:ext cx="695325" cy="2219325"/>
    <xdr:sp>
      <xdr:nvSpPr>
        <xdr:cNvPr id="87" name="Shape 87"/>
        <xdr:cNvSpPr/>
      </xdr:nvSpPr>
      <xdr:spPr>
        <a:xfrm flipH="1">
          <a:off x="5007863" y="2679863"/>
          <a:ext cx="676275" cy="2200275"/>
        </a:xfrm>
        <a:prstGeom prst="rtTriangle">
          <a:avLst/>
        </a:prstGeom>
        <a:blipFill rotWithShape="1">
          <a:blip r:embed="rId5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9525</xdr:colOff>
      <xdr:row>53</xdr:row>
      <xdr:rowOff>57150</xdr:rowOff>
    </xdr:from>
    <xdr:ext cx="3524250" cy="523875"/>
    <xdr:sp>
      <xdr:nvSpPr>
        <xdr:cNvPr id="88" name="Shape 88"/>
        <xdr:cNvSpPr/>
      </xdr:nvSpPr>
      <xdr:spPr>
        <a:xfrm>
          <a:off x="3593400" y="3527588"/>
          <a:ext cx="3505200" cy="504825"/>
        </a:xfrm>
        <a:prstGeom prst="rect">
          <a:avLst/>
        </a:prstGeom>
        <a:blipFill rotWithShape="1">
          <a:blip r:embed="rId5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114300</xdr:colOff>
      <xdr:row>58</xdr:row>
      <xdr:rowOff>0</xdr:rowOff>
    </xdr:from>
    <xdr:ext cx="3343275" cy="38100"/>
    <xdr:grpSp>
      <xdr:nvGrpSpPr>
        <xdr:cNvPr id="2" name="Shape 2"/>
        <xdr:cNvGrpSpPr/>
      </xdr:nvGrpSpPr>
      <xdr:grpSpPr>
        <a:xfrm>
          <a:off x="3674363" y="3775238"/>
          <a:ext cx="3343275" cy="9525"/>
          <a:chOff x="3674363" y="3775238"/>
          <a:chExt cx="3343275" cy="9525"/>
        </a:xfrm>
      </xdr:grpSpPr>
      <xdr:cxnSp>
        <xdr:nvCxnSpPr>
          <xdr:cNvPr id="89" name="Shape 89"/>
          <xdr:cNvCxnSpPr/>
        </xdr:nvCxnSpPr>
        <xdr:spPr>
          <a:xfrm flipH="1" rot="10800000">
            <a:off x="3674363" y="3775238"/>
            <a:ext cx="3343275" cy="95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762000</xdr:colOff>
      <xdr:row>55</xdr:row>
      <xdr:rowOff>190500</xdr:rowOff>
    </xdr:from>
    <xdr:ext cx="857250" cy="38100"/>
    <xdr:grpSp>
      <xdr:nvGrpSpPr>
        <xdr:cNvPr id="2" name="Shape 2"/>
        <xdr:cNvGrpSpPr/>
      </xdr:nvGrpSpPr>
      <xdr:grpSpPr>
        <a:xfrm>
          <a:off x="4917375" y="3780000"/>
          <a:ext cx="857250" cy="0"/>
          <a:chOff x="4917375" y="3780000"/>
          <a:chExt cx="857250" cy="0"/>
        </a:xfrm>
      </xdr:grpSpPr>
      <xdr:cxnSp>
        <xdr:nvCxnSpPr>
          <xdr:cNvPr id="90" name="Shape 90"/>
          <xdr:cNvCxnSpPr/>
        </xdr:nvCxnSpPr>
        <xdr:spPr>
          <a:xfrm>
            <a:off x="4917375" y="3780000"/>
            <a:ext cx="857250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11</xdr:col>
      <xdr:colOff>447675</xdr:colOff>
      <xdr:row>53</xdr:row>
      <xdr:rowOff>38100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91" name="Shape 91"/>
          <xdr:cNvCxnSpPr/>
        </xdr:nvCxnSpPr>
        <xdr:spPr>
          <a:xfrm>
            <a:off x="5346000" y="3518063"/>
            <a:ext cx="0" cy="52387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10</xdr:col>
      <xdr:colOff>180975</xdr:colOff>
      <xdr:row>43</xdr:row>
      <xdr:rowOff>66675</xdr:rowOff>
    </xdr:from>
    <xdr:ext cx="38100" cy="2028825"/>
    <xdr:grpSp>
      <xdr:nvGrpSpPr>
        <xdr:cNvPr id="2" name="Shape 2"/>
        <xdr:cNvGrpSpPr/>
      </xdr:nvGrpSpPr>
      <xdr:grpSpPr>
        <a:xfrm>
          <a:off x="5331713" y="2765588"/>
          <a:ext cx="28575" cy="2028825"/>
          <a:chOff x="5331713" y="2765588"/>
          <a:chExt cx="28575" cy="2028825"/>
        </a:xfrm>
      </xdr:grpSpPr>
      <xdr:cxnSp>
        <xdr:nvCxnSpPr>
          <xdr:cNvPr id="92" name="Shape 92"/>
          <xdr:cNvCxnSpPr/>
        </xdr:nvCxnSpPr>
        <xdr:spPr>
          <a:xfrm>
            <a:off x="5331713" y="2765588"/>
            <a:ext cx="28575" cy="2028825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733425</xdr:colOff>
      <xdr:row>41</xdr:row>
      <xdr:rowOff>133350</xdr:rowOff>
    </xdr:from>
    <xdr:ext cx="857250" cy="38100"/>
    <xdr:grpSp>
      <xdr:nvGrpSpPr>
        <xdr:cNvPr id="2" name="Shape 2"/>
        <xdr:cNvGrpSpPr/>
      </xdr:nvGrpSpPr>
      <xdr:grpSpPr>
        <a:xfrm>
          <a:off x="4917375" y="3780000"/>
          <a:ext cx="857250" cy="0"/>
          <a:chOff x="4917375" y="3780000"/>
          <a:chExt cx="857250" cy="0"/>
        </a:xfrm>
      </xdr:grpSpPr>
      <xdr:cxnSp>
        <xdr:nvCxnSpPr>
          <xdr:cNvPr id="93" name="Shape 93"/>
          <xdr:cNvCxnSpPr/>
        </xdr:nvCxnSpPr>
        <xdr:spPr>
          <a:xfrm>
            <a:off x="4917375" y="3780000"/>
            <a:ext cx="857250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57150</xdr:colOff>
      <xdr:row>51</xdr:row>
      <xdr:rowOff>19050</xdr:rowOff>
    </xdr:from>
    <xdr:ext cx="323850" cy="409575"/>
    <xdr:grpSp>
      <xdr:nvGrpSpPr>
        <xdr:cNvPr id="2" name="Shape 2"/>
        <xdr:cNvGrpSpPr/>
      </xdr:nvGrpSpPr>
      <xdr:grpSpPr>
        <a:xfrm>
          <a:off x="5150738" y="3627600"/>
          <a:ext cx="390525" cy="304800"/>
          <a:chOff x="5150738" y="3627600"/>
          <a:chExt cx="390525" cy="304800"/>
        </a:xfrm>
      </xdr:grpSpPr>
      <xdr:cxnSp>
        <xdr:nvCxnSpPr>
          <xdr:cNvPr id="79" name="Shape 79"/>
          <xdr:cNvCxnSpPr/>
        </xdr:nvCxnSpPr>
        <xdr:spPr>
          <a:xfrm flipH="1" rot="-5400000">
            <a:off x="5150738" y="3627600"/>
            <a:ext cx="390525" cy="304800"/>
          </a:xfrm>
          <a:prstGeom prst="bentConnector3">
            <a:avLst>
              <a:gd fmla="val 50000" name="adj1"/>
            </a:avLst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152400</xdr:colOff>
      <xdr:row>56</xdr:row>
      <xdr:rowOff>-19050</xdr:rowOff>
    </xdr:from>
    <xdr:ext cx="1381125" cy="38100"/>
    <xdr:grpSp>
      <xdr:nvGrpSpPr>
        <xdr:cNvPr id="2" name="Shape 2"/>
        <xdr:cNvGrpSpPr/>
      </xdr:nvGrpSpPr>
      <xdr:grpSpPr>
        <a:xfrm>
          <a:off x="4655438" y="3780000"/>
          <a:ext cx="1381125" cy="0"/>
          <a:chOff x="4655438" y="3780000"/>
          <a:chExt cx="1381125" cy="0"/>
        </a:xfrm>
      </xdr:grpSpPr>
      <xdr:cxnSp>
        <xdr:nvCxnSpPr>
          <xdr:cNvPr id="94" name="Shape 94"/>
          <xdr:cNvCxnSpPr/>
        </xdr:nvCxnSpPr>
        <xdr:spPr>
          <a:xfrm>
            <a:off x="4655438" y="3780000"/>
            <a:ext cx="138112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10</xdr:col>
      <xdr:colOff>0</xdr:colOff>
      <xdr:row>40</xdr:row>
      <xdr:rowOff>66675</xdr:rowOff>
    </xdr:from>
    <xdr:ext cx="1943100" cy="581025"/>
    <xdr:grpSp>
      <xdr:nvGrpSpPr>
        <xdr:cNvPr id="2" name="Shape 2"/>
        <xdr:cNvGrpSpPr/>
      </xdr:nvGrpSpPr>
      <xdr:grpSpPr>
        <a:xfrm>
          <a:off x="4379213" y="3494250"/>
          <a:ext cx="1933575" cy="571500"/>
          <a:chOff x="4379213" y="3494250"/>
          <a:chExt cx="1933575" cy="571500"/>
        </a:xfrm>
      </xdr:grpSpPr>
      <xdr:cxnSp>
        <xdr:nvCxnSpPr>
          <xdr:cNvPr id="95" name="Shape 95"/>
          <xdr:cNvCxnSpPr/>
        </xdr:nvCxnSpPr>
        <xdr:spPr>
          <a:xfrm flipH="1" rot="10800000">
            <a:off x="4379213" y="3494250"/>
            <a:ext cx="1933575" cy="571500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0</xdr:colOff>
      <xdr:row>41</xdr:row>
      <xdr:rowOff>104775</xdr:rowOff>
    </xdr:from>
    <xdr:ext cx="1152525" cy="342900"/>
    <xdr:sp>
      <xdr:nvSpPr>
        <xdr:cNvPr id="96" name="Shape 96"/>
        <xdr:cNvSpPr/>
      </xdr:nvSpPr>
      <xdr:spPr>
        <a:xfrm flipH="1">
          <a:off x="4779263" y="3618075"/>
          <a:ext cx="1133475" cy="323850"/>
        </a:xfrm>
        <a:prstGeom prst="rtTriangle">
          <a:avLst/>
        </a:prstGeom>
        <a:blipFill rotWithShape="1">
          <a:blip r:embed="rId6">
            <a:alphaModFix/>
          </a:blip>
          <a:tile algn="tl" flip="none" tx="0" sx="100000" ty="0" sy="100000"/>
        </a:blipFill>
        <a:ln cap="flat" cmpd="sng" w="25400">
          <a:solidFill>
            <a:srgbClr val="92CCD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0</xdr:colOff>
      <xdr:row>43</xdr:row>
      <xdr:rowOff>19050</xdr:rowOff>
    </xdr:from>
    <xdr:ext cx="1190625" cy="2133600"/>
    <xdr:sp>
      <xdr:nvSpPr>
        <xdr:cNvPr id="97" name="Shape 97"/>
        <xdr:cNvSpPr/>
      </xdr:nvSpPr>
      <xdr:spPr>
        <a:xfrm>
          <a:off x="4760213" y="2722725"/>
          <a:ext cx="1171575" cy="2114550"/>
        </a:xfrm>
        <a:prstGeom prst="rect">
          <a:avLst/>
        </a:prstGeom>
        <a:blipFill rotWithShape="1">
          <a:blip r:embed="rId6">
            <a:alphaModFix/>
          </a:blip>
          <a:tile algn="tl" flip="none" tx="0" sx="100000" ty="0" sy="100000"/>
        </a:blipFill>
        <a:ln cap="flat" cmpd="sng" w="25400">
          <a:solidFill>
            <a:srgbClr val="92CCD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733425</xdr:colOff>
      <xdr:row>67</xdr:row>
      <xdr:rowOff>38100</xdr:rowOff>
    </xdr:from>
    <xdr:ext cx="809625" cy="523875"/>
    <xdr:sp>
      <xdr:nvSpPr>
        <xdr:cNvPr id="98" name="Shape 98"/>
        <xdr:cNvSpPr/>
      </xdr:nvSpPr>
      <xdr:spPr>
        <a:xfrm rot="-5400000">
          <a:off x="5093588" y="3384713"/>
          <a:ext cx="504825" cy="790575"/>
        </a:xfrm>
        <a:prstGeom prst="flowChartManualInput">
          <a:avLst/>
        </a:prstGeom>
        <a:blipFill rotWithShape="1">
          <a:blip r:embed="rId5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523875</xdr:colOff>
      <xdr:row>3</xdr:row>
      <xdr:rowOff>-9525</xdr:rowOff>
    </xdr:from>
    <xdr:ext cx="266700" cy="2733675"/>
    <xdr:sp>
      <xdr:nvSpPr>
        <xdr:cNvPr id="99" name="Shape 99"/>
        <xdr:cNvSpPr/>
      </xdr:nvSpPr>
      <xdr:spPr>
        <a:xfrm>
          <a:off x="5222175" y="2422688"/>
          <a:ext cx="247650" cy="2714625"/>
        </a:xfrm>
        <a:prstGeom prst="upDownArrow">
          <a:avLst>
            <a:gd fmla="val 50000" name="adj1"/>
            <a:gd fmla="val 50000" name="adj2"/>
          </a:avLst>
        </a:prstGeom>
        <a:solidFill>
          <a:schemeClr val="accent3"/>
        </a:solidFill>
        <a:ln cap="flat" cmpd="sng" w="25400">
          <a:solidFill>
            <a:srgbClr val="71884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28575</xdr:colOff>
      <xdr:row>18</xdr:row>
      <xdr:rowOff>-333375</xdr:rowOff>
    </xdr:from>
    <xdr:ext cx="3248025" cy="1409700"/>
    <xdr:sp>
      <xdr:nvSpPr>
        <xdr:cNvPr id="100" name="Shape 100"/>
        <xdr:cNvSpPr/>
      </xdr:nvSpPr>
      <xdr:spPr>
        <a:xfrm rot="-1085583">
          <a:off x="3698175" y="3613313"/>
          <a:ext cx="3295650" cy="333375"/>
        </a:xfrm>
        <a:prstGeom prst="parallelogram">
          <a:avLst>
            <a:gd fmla="val 25000" name="adj"/>
          </a:avLst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-9525</xdr:colOff>
      <xdr:row>41</xdr:row>
      <xdr:rowOff>-152400</xdr:rowOff>
    </xdr:from>
    <xdr:ext cx="1181100" cy="609600"/>
    <xdr:sp>
      <xdr:nvSpPr>
        <xdr:cNvPr id="101" name="Shape 101"/>
        <xdr:cNvSpPr/>
      </xdr:nvSpPr>
      <xdr:spPr>
        <a:xfrm rot="-1154081">
          <a:off x="4764975" y="3679988"/>
          <a:ext cx="1162050" cy="200025"/>
        </a:xfrm>
        <a:prstGeom prst="parallelogram">
          <a:avLst>
            <a:gd fmla="val 25000" name="adj"/>
          </a:avLst>
        </a:prstGeom>
        <a:blipFill rotWithShape="1">
          <a:blip r:embed="rId6">
            <a:alphaModFix/>
          </a:blip>
          <a:tile algn="tl" flip="none" tx="0" sx="100000" ty="0" sy="100000"/>
        </a:blip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28575</xdr:colOff>
      <xdr:row>21</xdr:row>
      <xdr:rowOff>95250</xdr:rowOff>
    </xdr:from>
    <xdr:ext cx="1647825" cy="3067050"/>
    <xdr:sp>
      <xdr:nvSpPr>
        <xdr:cNvPr id="102" name="Shape 102"/>
        <xdr:cNvSpPr/>
      </xdr:nvSpPr>
      <xdr:spPr>
        <a:xfrm rot="-1274667">
          <a:off x="5088825" y="2241713"/>
          <a:ext cx="514350" cy="307657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314325</xdr:colOff>
      <xdr:row>140</xdr:row>
      <xdr:rowOff>28575</xdr:rowOff>
    </xdr:from>
    <xdr:ext cx="276225" cy="495300"/>
    <xdr:sp>
      <xdr:nvSpPr>
        <xdr:cNvPr id="103" name="Shape 103"/>
        <xdr:cNvSpPr/>
      </xdr:nvSpPr>
      <xdr:spPr>
        <a:xfrm>
          <a:off x="5217413" y="3541875"/>
          <a:ext cx="257175" cy="4762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3"/>
        </a:solidFill>
        <a:ln cap="flat" cmpd="sng" w="25400">
          <a:solidFill>
            <a:srgbClr val="71884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314325</xdr:colOff>
      <xdr:row>140</xdr:row>
      <xdr:rowOff>28575</xdr:rowOff>
    </xdr:from>
    <xdr:ext cx="276225" cy="495300"/>
    <xdr:sp>
      <xdr:nvSpPr>
        <xdr:cNvPr id="104" name="Shape 104"/>
        <xdr:cNvSpPr/>
      </xdr:nvSpPr>
      <xdr:spPr>
        <a:xfrm>
          <a:off x="5217413" y="3541875"/>
          <a:ext cx="257175" cy="4762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3"/>
        </a:solidFill>
        <a:ln cap="flat" cmpd="sng" w="25400">
          <a:solidFill>
            <a:srgbClr val="71884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314325</xdr:colOff>
      <xdr:row>140</xdr:row>
      <xdr:rowOff>28575</xdr:rowOff>
    </xdr:from>
    <xdr:ext cx="276225" cy="495300"/>
    <xdr:sp>
      <xdr:nvSpPr>
        <xdr:cNvPr id="105" name="Shape 105"/>
        <xdr:cNvSpPr/>
      </xdr:nvSpPr>
      <xdr:spPr>
        <a:xfrm>
          <a:off x="5217413" y="3541875"/>
          <a:ext cx="257175" cy="4762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3"/>
        </a:solidFill>
        <a:ln cap="flat" cmpd="sng" w="25400">
          <a:solidFill>
            <a:srgbClr val="71884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314325</xdr:colOff>
      <xdr:row>140</xdr:row>
      <xdr:rowOff>28575</xdr:rowOff>
    </xdr:from>
    <xdr:ext cx="276225" cy="495300"/>
    <xdr:sp>
      <xdr:nvSpPr>
        <xdr:cNvPr id="105" name="Shape 105"/>
        <xdr:cNvSpPr/>
      </xdr:nvSpPr>
      <xdr:spPr>
        <a:xfrm>
          <a:off x="5217413" y="3541875"/>
          <a:ext cx="257175" cy="4762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3"/>
        </a:solidFill>
        <a:ln cap="flat" cmpd="sng" w="25400">
          <a:solidFill>
            <a:srgbClr val="71884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657225</xdr:colOff>
      <xdr:row>67</xdr:row>
      <xdr:rowOff>47625</xdr:rowOff>
    </xdr:from>
    <xdr:ext cx="133350" cy="438150"/>
    <xdr:sp>
      <xdr:nvSpPr>
        <xdr:cNvPr id="106" name="Shape 106"/>
        <xdr:cNvSpPr/>
      </xdr:nvSpPr>
      <xdr:spPr>
        <a:xfrm>
          <a:off x="5288850" y="3570450"/>
          <a:ext cx="114300" cy="419100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314325</xdr:colOff>
      <xdr:row>199</xdr:row>
      <xdr:rowOff>28575</xdr:rowOff>
    </xdr:from>
    <xdr:ext cx="276225" cy="438150"/>
    <xdr:sp>
      <xdr:nvSpPr>
        <xdr:cNvPr id="107" name="Shape 107"/>
        <xdr:cNvSpPr/>
      </xdr:nvSpPr>
      <xdr:spPr>
        <a:xfrm>
          <a:off x="5217413" y="3570450"/>
          <a:ext cx="257175" cy="4191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3"/>
        </a:solidFill>
        <a:ln cap="flat" cmpd="sng" w="25400">
          <a:solidFill>
            <a:srgbClr val="71884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24</xdr:col>
      <xdr:colOff>733425</xdr:colOff>
      <xdr:row>67</xdr:row>
      <xdr:rowOff>38100</xdr:rowOff>
    </xdr:from>
    <xdr:ext cx="800100" cy="523875"/>
    <xdr:sp>
      <xdr:nvSpPr>
        <xdr:cNvPr id="108" name="Shape 108"/>
        <xdr:cNvSpPr/>
      </xdr:nvSpPr>
      <xdr:spPr>
        <a:xfrm rot="-5400000">
          <a:off x="5093588" y="3389475"/>
          <a:ext cx="504825" cy="781050"/>
        </a:xfrm>
        <a:prstGeom prst="flowChartManualInput">
          <a:avLst/>
        </a:prstGeom>
        <a:blipFill rotWithShape="1">
          <a:blip r:embed="rId5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26</xdr:col>
      <xdr:colOff>9525</xdr:colOff>
      <xdr:row>67</xdr:row>
      <xdr:rowOff>76200</xdr:rowOff>
    </xdr:from>
    <xdr:ext cx="180975" cy="438150"/>
    <xdr:sp>
      <xdr:nvSpPr>
        <xdr:cNvPr id="109" name="Shape 109"/>
        <xdr:cNvSpPr/>
      </xdr:nvSpPr>
      <xdr:spPr>
        <a:xfrm>
          <a:off x="5265038" y="3570450"/>
          <a:ext cx="161925" cy="419100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704850</xdr:colOff>
      <xdr:row>67</xdr:row>
      <xdr:rowOff>-19050</xdr:rowOff>
    </xdr:from>
    <xdr:ext cx="857250" cy="38100"/>
    <xdr:grpSp>
      <xdr:nvGrpSpPr>
        <xdr:cNvPr id="2" name="Shape 2"/>
        <xdr:cNvGrpSpPr/>
      </xdr:nvGrpSpPr>
      <xdr:grpSpPr>
        <a:xfrm>
          <a:off x="4917375" y="3780000"/>
          <a:ext cx="857250" cy="0"/>
          <a:chOff x="4917375" y="3780000"/>
          <a:chExt cx="857250" cy="0"/>
        </a:xfrm>
      </xdr:grpSpPr>
      <xdr:cxnSp>
        <xdr:nvCxnSpPr>
          <xdr:cNvPr id="110" name="Shape 110"/>
          <xdr:cNvCxnSpPr/>
        </xdr:nvCxnSpPr>
        <xdr:spPr>
          <a:xfrm>
            <a:off x="4917375" y="3780000"/>
            <a:ext cx="857250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10</xdr:col>
      <xdr:colOff>19050</xdr:colOff>
      <xdr:row>56</xdr:row>
      <xdr:rowOff>-19050</xdr:rowOff>
    </xdr:from>
    <xdr:ext cx="1200150" cy="38100"/>
    <xdr:grpSp>
      <xdr:nvGrpSpPr>
        <xdr:cNvPr id="2" name="Shape 2"/>
        <xdr:cNvGrpSpPr/>
      </xdr:nvGrpSpPr>
      <xdr:grpSpPr>
        <a:xfrm>
          <a:off x="4745925" y="3780000"/>
          <a:ext cx="1200150" cy="0"/>
          <a:chOff x="4745925" y="3780000"/>
          <a:chExt cx="1200150" cy="0"/>
        </a:xfrm>
      </xdr:grpSpPr>
      <xdr:cxnSp>
        <xdr:nvCxnSpPr>
          <xdr:cNvPr id="111" name="Shape 111"/>
          <xdr:cNvCxnSpPr/>
        </xdr:nvCxnSpPr>
        <xdr:spPr>
          <a:xfrm>
            <a:off x="4745925" y="3780000"/>
            <a:ext cx="1200150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7</xdr:col>
      <xdr:colOff>723900</xdr:colOff>
      <xdr:row>36</xdr:row>
      <xdr:rowOff>-9525</xdr:rowOff>
    </xdr:from>
    <xdr:ext cx="1190625" cy="38100"/>
    <xdr:grpSp>
      <xdr:nvGrpSpPr>
        <xdr:cNvPr id="2" name="Shape 2"/>
        <xdr:cNvGrpSpPr/>
      </xdr:nvGrpSpPr>
      <xdr:grpSpPr>
        <a:xfrm>
          <a:off x="4750688" y="3780000"/>
          <a:ext cx="1190625" cy="0"/>
          <a:chOff x="4750688" y="3780000"/>
          <a:chExt cx="1190625" cy="0"/>
        </a:xfrm>
      </xdr:grpSpPr>
      <xdr:cxnSp>
        <xdr:nvCxnSpPr>
          <xdr:cNvPr id="112" name="Shape 112"/>
          <xdr:cNvCxnSpPr/>
        </xdr:nvCxnSpPr>
        <xdr:spPr>
          <a:xfrm>
            <a:off x="4750688" y="3780000"/>
            <a:ext cx="119062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14</xdr:col>
      <xdr:colOff>314325</xdr:colOff>
      <xdr:row>209</xdr:row>
      <xdr:rowOff>28575</xdr:rowOff>
    </xdr:from>
    <xdr:ext cx="276225" cy="438150"/>
    <xdr:sp>
      <xdr:nvSpPr>
        <xdr:cNvPr id="107" name="Shape 107"/>
        <xdr:cNvSpPr/>
      </xdr:nvSpPr>
      <xdr:spPr>
        <a:xfrm>
          <a:off x="5217413" y="3570450"/>
          <a:ext cx="257175" cy="4191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3"/>
        </a:solidFill>
        <a:ln cap="flat" cmpd="sng" w="25400">
          <a:solidFill>
            <a:srgbClr val="71884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314325</xdr:colOff>
      <xdr:row>199</xdr:row>
      <xdr:rowOff>28575</xdr:rowOff>
    </xdr:from>
    <xdr:ext cx="276225" cy="438150"/>
    <xdr:sp>
      <xdr:nvSpPr>
        <xdr:cNvPr id="107" name="Shape 107"/>
        <xdr:cNvSpPr/>
      </xdr:nvSpPr>
      <xdr:spPr>
        <a:xfrm>
          <a:off x="5217413" y="3570450"/>
          <a:ext cx="257175" cy="4191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3"/>
        </a:solidFill>
        <a:ln cap="flat" cmpd="sng" w="25400">
          <a:solidFill>
            <a:srgbClr val="71884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695325</xdr:colOff>
      <xdr:row>30</xdr:row>
      <xdr:rowOff>57150</xdr:rowOff>
    </xdr:from>
    <xdr:ext cx="2667000" cy="57150"/>
    <xdr:sp>
      <xdr:nvSpPr>
        <xdr:cNvPr id="113" name="Shape 113"/>
        <xdr:cNvSpPr/>
      </xdr:nvSpPr>
      <xdr:spPr>
        <a:xfrm>
          <a:off x="4022025" y="3760950"/>
          <a:ext cx="2647950" cy="38100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>
              <a:alpha val="0"/>
            </a:schemeClr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390525</xdr:colOff>
      <xdr:row>3</xdr:row>
      <xdr:rowOff>57150</xdr:rowOff>
    </xdr:from>
    <xdr:ext cx="2924175" cy="21717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21</xdr:row>
      <xdr:rowOff>200025</xdr:rowOff>
    </xdr:from>
    <xdr:ext cx="3257550" cy="304800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4</xdr:row>
      <xdr:rowOff>0</xdr:rowOff>
    </xdr:from>
    <xdr:ext cx="733425" cy="2143125"/>
    <xdr:sp>
      <xdr:nvSpPr>
        <xdr:cNvPr id="3" name="Shape 3"/>
        <xdr:cNvSpPr/>
      </xdr:nvSpPr>
      <xdr:spPr>
        <a:xfrm>
          <a:off x="4988813" y="2717963"/>
          <a:ext cx="714375" cy="2124075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95250</xdr:colOff>
      <xdr:row>4</xdr:row>
      <xdr:rowOff>0</xdr:rowOff>
    </xdr:from>
    <xdr:ext cx="685800" cy="2124075"/>
    <xdr:sp>
      <xdr:nvSpPr>
        <xdr:cNvPr id="4" name="Shape 4"/>
        <xdr:cNvSpPr/>
      </xdr:nvSpPr>
      <xdr:spPr>
        <a:xfrm flipH="1">
          <a:off x="5012625" y="2727488"/>
          <a:ext cx="666750" cy="2105025"/>
        </a:xfrm>
        <a:prstGeom prst="rtTriangle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9525</xdr:colOff>
      <xdr:row>14</xdr:row>
      <xdr:rowOff>57150</xdr:rowOff>
    </xdr:from>
    <xdr:ext cx="3333750" cy="504825"/>
    <xdr:sp>
      <xdr:nvSpPr>
        <xdr:cNvPr id="5" name="Shape 5"/>
        <xdr:cNvSpPr/>
      </xdr:nvSpPr>
      <xdr:spPr>
        <a:xfrm>
          <a:off x="3688650" y="3537113"/>
          <a:ext cx="3314700" cy="485775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76200</xdr:colOff>
      <xdr:row>17</xdr:row>
      <xdr:rowOff>228600</xdr:rowOff>
    </xdr:from>
    <xdr:ext cx="3228975" cy="38100"/>
    <xdr:grpSp>
      <xdr:nvGrpSpPr>
        <xdr:cNvPr id="2" name="Shape 2"/>
        <xdr:cNvGrpSpPr/>
      </xdr:nvGrpSpPr>
      <xdr:grpSpPr>
        <a:xfrm>
          <a:off x="3731513" y="3775238"/>
          <a:ext cx="3228975" cy="9525"/>
          <a:chOff x="3731513" y="3775238"/>
          <a:chExt cx="3228975" cy="9525"/>
        </a:xfrm>
      </xdr:grpSpPr>
      <xdr:cxnSp>
        <xdr:nvCxnSpPr>
          <xdr:cNvPr id="6" name="Shape 6"/>
          <xdr:cNvCxnSpPr/>
        </xdr:nvCxnSpPr>
        <xdr:spPr>
          <a:xfrm flipH="1" rot="10800000">
            <a:off x="3731513" y="3775238"/>
            <a:ext cx="3228975" cy="95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0</xdr:col>
      <xdr:colOff>9525</xdr:colOff>
      <xdr:row>17</xdr:row>
      <xdr:rowOff>-19050</xdr:rowOff>
    </xdr:from>
    <xdr:ext cx="885825" cy="38100"/>
    <xdr:grpSp>
      <xdr:nvGrpSpPr>
        <xdr:cNvPr id="2" name="Shape 2"/>
        <xdr:cNvGrpSpPr/>
      </xdr:nvGrpSpPr>
      <xdr:grpSpPr>
        <a:xfrm>
          <a:off x="4903088" y="3780000"/>
          <a:ext cx="885825" cy="0"/>
          <a:chOff x="4903088" y="3780000"/>
          <a:chExt cx="885825" cy="0"/>
        </a:xfrm>
      </xdr:grpSpPr>
      <xdr:cxnSp>
        <xdr:nvCxnSpPr>
          <xdr:cNvPr id="7" name="Shape 7"/>
          <xdr:cNvCxnSpPr/>
        </xdr:nvCxnSpPr>
        <xdr:spPr>
          <a:xfrm>
            <a:off x="4903088" y="3780000"/>
            <a:ext cx="88582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4</xdr:col>
      <xdr:colOff>342900</xdr:colOff>
      <xdr:row>14</xdr:row>
      <xdr:rowOff>76200</xdr:rowOff>
    </xdr:from>
    <xdr:ext cx="38100" cy="495300"/>
    <xdr:grpSp>
      <xdr:nvGrpSpPr>
        <xdr:cNvPr id="2" name="Shape 2"/>
        <xdr:cNvGrpSpPr/>
      </xdr:nvGrpSpPr>
      <xdr:grpSpPr>
        <a:xfrm>
          <a:off x="5346000" y="3532350"/>
          <a:ext cx="0" cy="495300"/>
          <a:chOff x="5346000" y="3532350"/>
          <a:chExt cx="0" cy="495300"/>
        </a:xfrm>
      </xdr:grpSpPr>
      <xdr:cxnSp>
        <xdr:nvCxnSpPr>
          <xdr:cNvPr id="9" name="Shape 9"/>
          <xdr:cNvCxnSpPr/>
        </xdr:nvCxnSpPr>
        <xdr:spPr>
          <a:xfrm>
            <a:off x="5346000" y="3532350"/>
            <a:ext cx="0" cy="49530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3</xdr:col>
      <xdr:colOff>180975</xdr:colOff>
      <xdr:row>4</xdr:row>
      <xdr:rowOff>66675</xdr:rowOff>
    </xdr:from>
    <xdr:ext cx="38100" cy="1933575"/>
    <xdr:grpSp>
      <xdr:nvGrpSpPr>
        <xdr:cNvPr id="2" name="Shape 2"/>
        <xdr:cNvGrpSpPr/>
      </xdr:nvGrpSpPr>
      <xdr:grpSpPr>
        <a:xfrm>
          <a:off x="5331713" y="2813213"/>
          <a:ext cx="28575" cy="1933575"/>
          <a:chOff x="5331713" y="2813213"/>
          <a:chExt cx="28575" cy="1933575"/>
        </a:xfrm>
      </xdr:grpSpPr>
      <xdr:cxnSp>
        <xdr:nvCxnSpPr>
          <xdr:cNvPr id="11" name="Shape 11"/>
          <xdr:cNvCxnSpPr/>
        </xdr:nvCxnSpPr>
        <xdr:spPr>
          <a:xfrm>
            <a:off x="5331713" y="2813213"/>
            <a:ext cx="28575" cy="193357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723900</xdr:colOff>
      <xdr:row>3</xdr:row>
      <xdr:rowOff>0</xdr:rowOff>
    </xdr:from>
    <xdr:ext cx="847725" cy="38100"/>
    <xdr:grpSp>
      <xdr:nvGrpSpPr>
        <xdr:cNvPr id="2" name="Shape 2"/>
        <xdr:cNvGrpSpPr/>
      </xdr:nvGrpSpPr>
      <xdr:grpSpPr>
        <a:xfrm>
          <a:off x="4922138" y="3780000"/>
          <a:ext cx="847725" cy="0"/>
          <a:chOff x="4922138" y="3780000"/>
          <a:chExt cx="847725" cy="0"/>
        </a:xfrm>
      </xdr:grpSpPr>
      <xdr:cxnSp>
        <xdr:nvCxnSpPr>
          <xdr:cNvPr id="13" name="Shape 13"/>
          <xdr:cNvCxnSpPr/>
        </xdr:nvCxnSpPr>
        <xdr:spPr>
          <a:xfrm>
            <a:off x="4922138" y="3780000"/>
            <a:ext cx="84772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57150</xdr:colOff>
      <xdr:row>12</xdr:row>
      <xdr:rowOff>19050</xdr:rowOff>
    </xdr:from>
    <xdr:ext cx="323850" cy="390525"/>
    <xdr:grpSp>
      <xdr:nvGrpSpPr>
        <xdr:cNvPr id="2" name="Shape 2"/>
        <xdr:cNvGrpSpPr/>
      </xdr:nvGrpSpPr>
      <xdr:grpSpPr>
        <a:xfrm>
          <a:off x="5160263" y="3627600"/>
          <a:ext cx="371475" cy="304800"/>
          <a:chOff x="5160263" y="3627600"/>
          <a:chExt cx="371475" cy="304800"/>
        </a:xfrm>
      </xdr:grpSpPr>
      <xdr:cxnSp>
        <xdr:nvCxnSpPr>
          <xdr:cNvPr id="14" name="Shape 14"/>
          <xdr:cNvCxnSpPr/>
        </xdr:nvCxnSpPr>
        <xdr:spPr>
          <a:xfrm flipH="1" rot="-5400000">
            <a:off x="5160263" y="3627600"/>
            <a:ext cx="371475" cy="304800"/>
          </a:xfrm>
          <a:prstGeom prst="bentConnector3">
            <a:avLst>
              <a:gd fmla="val 50000" name="adj1"/>
            </a:avLst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142875</xdr:colOff>
      <xdr:row>16</xdr:row>
      <xdr:rowOff>238125</xdr:rowOff>
    </xdr:from>
    <xdr:ext cx="1371600" cy="38100"/>
    <xdr:grpSp>
      <xdr:nvGrpSpPr>
        <xdr:cNvPr id="2" name="Shape 2"/>
        <xdr:cNvGrpSpPr/>
      </xdr:nvGrpSpPr>
      <xdr:grpSpPr>
        <a:xfrm>
          <a:off x="4660200" y="3780000"/>
          <a:ext cx="1371600" cy="0"/>
          <a:chOff x="4660200" y="3780000"/>
          <a:chExt cx="1371600" cy="0"/>
        </a:xfrm>
      </xdr:grpSpPr>
      <xdr:cxnSp>
        <xdr:nvCxnSpPr>
          <xdr:cNvPr id="16" name="Shape 16"/>
          <xdr:cNvCxnSpPr/>
        </xdr:nvCxnSpPr>
        <xdr:spPr>
          <a:xfrm>
            <a:off x="4660200" y="3780000"/>
            <a:ext cx="1371600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409575</xdr:colOff>
      <xdr:row>3</xdr:row>
      <xdr:rowOff>0</xdr:rowOff>
    </xdr:from>
    <xdr:ext cx="342900" cy="2162175"/>
    <xdr:sp>
      <xdr:nvSpPr>
        <xdr:cNvPr id="18" name="Shape 18"/>
        <xdr:cNvSpPr/>
      </xdr:nvSpPr>
      <xdr:spPr>
        <a:xfrm>
          <a:off x="5184075" y="2708438"/>
          <a:ext cx="323850" cy="2143125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390525</xdr:colOff>
      <xdr:row>17</xdr:row>
      <xdr:rowOff>123825</xdr:rowOff>
    </xdr:from>
    <xdr:ext cx="1095375" cy="390525"/>
    <xdr:sp>
      <xdr:nvSpPr>
        <xdr:cNvPr id="20" name="Shape 20"/>
        <xdr:cNvSpPr/>
      </xdr:nvSpPr>
      <xdr:spPr>
        <a:xfrm>
          <a:off x="4807838" y="3594263"/>
          <a:ext cx="1076325" cy="371475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9525</xdr:colOff>
      <xdr:row>17</xdr:row>
      <xdr:rowOff>123825</xdr:rowOff>
    </xdr:from>
    <xdr:ext cx="1095375" cy="400050"/>
    <xdr:sp>
      <xdr:nvSpPr>
        <xdr:cNvPr id="21" name="Shape 21"/>
        <xdr:cNvSpPr/>
      </xdr:nvSpPr>
      <xdr:spPr>
        <a:xfrm>
          <a:off x="4807838" y="3589500"/>
          <a:ext cx="1076325" cy="381000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19050</xdr:colOff>
      <xdr:row>3</xdr:row>
      <xdr:rowOff>9525</xdr:rowOff>
    </xdr:from>
    <xdr:ext cx="390525" cy="2143125"/>
    <xdr:sp>
      <xdr:nvSpPr>
        <xdr:cNvPr id="23" name="Shape 23"/>
        <xdr:cNvSpPr/>
      </xdr:nvSpPr>
      <xdr:spPr>
        <a:xfrm flipH="1">
          <a:off x="5160263" y="2717963"/>
          <a:ext cx="371475" cy="2124075"/>
        </a:xfrm>
        <a:prstGeom prst="rtTriangle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133350</xdr:colOff>
      <xdr:row>25</xdr:row>
      <xdr:rowOff>28575</xdr:rowOff>
    </xdr:from>
    <xdr:ext cx="714375" cy="714375"/>
    <xdr:sp>
      <xdr:nvSpPr>
        <xdr:cNvPr id="25" name="Shape 25"/>
        <xdr:cNvSpPr/>
      </xdr:nvSpPr>
      <xdr:spPr>
        <a:xfrm rot="-5400000">
          <a:off x="4998338" y="3432338"/>
          <a:ext cx="695325" cy="695325"/>
        </a:xfrm>
        <a:prstGeom prst="flowChartManualInpu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3</xdr:row>
      <xdr:rowOff>0</xdr:rowOff>
    </xdr:from>
    <xdr:ext cx="733425" cy="2171700"/>
    <xdr:sp>
      <xdr:nvSpPr>
        <xdr:cNvPr id="27" name="Shape 27"/>
        <xdr:cNvSpPr/>
      </xdr:nvSpPr>
      <xdr:spPr>
        <a:xfrm>
          <a:off x="4988813" y="2703675"/>
          <a:ext cx="714375" cy="2152650"/>
        </a:xfrm>
        <a:prstGeom prst="rtTriangle">
          <a:avLst/>
        </a:prstGeom>
        <a:solidFill>
          <a:schemeClr val="lt1"/>
        </a:solidFill>
        <a:ln cap="flat" cmpd="sng" w="25400">
          <a:solidFill>
            <a:schemeClr val="accent6">
              <a:alpha val="1961"/>
            </a:schemeClr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361950</xdr:colOff>
      <xdr:row>19</xdr:row>
      <xdr:rowOff>114300</xdr:rowOff>
    </xdr:from>
    <xdr:ext cx="1133475" cy="438150"/>
    <xdr:sp>
      <xdr:nvSpPr>
        <xdr:cNvPr id="29" name="Shape 29"/>
        <xdr:cNvSpPr/>
      </xdr:nvSpPr>
      <xdr:spPr>
        <a:xfrm rot="10800000">
          <a:off x="4788788" y="3570450"/>
          <a:ext cx="1114425" cy="419100"/>
        </a:xfrm>
        <a:prstGeom prst="flowChartManualInput">
          <a:avLst/>
        </a:prstGeom>
        <a:solidFill>
          <a:schemeClr val="lt1"/>
        </a:solidFill>
        <a:ln cap="flat" cmpd="sng" w="25400">
          <a:solidFill>
            <a:schemeClr val="dk1">
              <a:alpha val="0"/>
            </a:schemeClr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0</xdr:colOff>
      <xdr:row>19</xdr:row>
      <xdr:rowOff>114300</xdr:rowOff>
    </xdr:from>
    <xdr:ext cx="1095375" cy="457200"/>
    <xdr:sp>
      <xdr:nvSpPr>
        <xdr:cNvPr id="31" name="Shape 31"/>
        <xdr:cNvSpPr/>
      </xdr:nvSpPr>
      <xdr:spPr>
        <a:xfrm rot="10800000">
          <a:off x="4807838" y="3560925"/>
          <a:ext cx="1076325" cy="438150"/>
        </a:xfrm>
        <a:prstGeom prst="flowChartManualInput">
          <a:avLst/>
        </a:prstGeom>
        <a:solidFill>
          <a:schemeClr val="lt1"/>
        </a:solidFill>
        <a:ln cap="flat" cmpd="sng" w="25400">
          <a:solidFill>
            <a:schemeClr val="dk1">
              <a:alpha val="0"/>
            </a:schemeClr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16</xdr:row>
      <xdr:rowOff>9525</xdr:rowOff>
    </xdr:from>
    <xdr:ext cx="1085850" cy="304800"/>
    <xdr:sp>
      <xdr:nvSpPr>
        <xdr:cNvPr id="32" name="Shape 32"/>
        <xdr:cNvSpPr/>
      </xdr:nvSpPr>
      <xdr:spPr>
        <a:xfrm>
          <a:off x="4812600" y="3637125"/>
          <a:ext cx="1066800" cy="285750"/>
        </a:xfrm>
        <a:prstGeom prst="rect">
          <a:avLst/>
        </a:prstGeom>
        <a:solidFill>
          <a:schemeClr val="lt1"/>
        </a:solidFill>
        <a:ln cap="flat" cmpd="sng" w="25400">
          <a:solidFill>
            <a:srgbClr val="395E89">
              <a:alpha val="0"/>
            </a:srgbClr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66675</xdr:colOff>
      <xdr:row>25</xdr:row>
      <xdr:rowOff>28575</xdr:rowOff>
    </xdr:from>
    <xdr:ext cx="647700" cy="733425"/>
    <xdr:sp>
      <xdr:nvSpPr>
        <xdr:cNvPr id="34" name="Shape 34"/>
        <xdr:cNvSpPr/>
      </xdr:nvSpPr>
      <xdr:spPr>
        <a:xfrm rot="5400000">
          <a:off x="4988813" y="3465675"/>
          <a:ext cx="714375" cy="628650"/>
        </a:xfrm>
        <a:prstGeom prst="flowChartManualInput">
          <a:avLst/>
        </a:prstGeom>
        <a:solidFill>
          <a:schemeClr val="lt1"/>
        </a:solidFill>
        <a:ln cap="flat" cmpd="sng" w="25400">
          <a:solidFill>
            <a:schemeClr val="dk1">
              <a:alpha val="0"/>
            </a:schemeClr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409575</xdr:colOff>
      <xdr:row>3</xdr:row>
      <xdr:rowOff>0</xdr:rowOff>
    </xdr:from>
    <xdr:ext cx="342900" cy="2162175"/>
    <xdr:sp>
      <xdr:nvSpPr>
        <xdr:cNvPr id="36" name="Shape 36"/>
        <xdr:cNvSpPr/>
      </xdr:nvSpPr>
      <xdr:spPr>
        <a:xfrm>
          <a:off x="5184075" y="2708438"/>
          <a:ext cx="323850" cy="2143125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390525</xdr:colOff>
      <xdr:row>19</xdr:row>
      <xdr:rowOff>104775</xdr:rowOff>
    </xdr:from>
    <xdr:ext cx="1095375" cy="428625"/>
    <xdr:sp>
      <xdr:nvSpPr>
        <xdr:cNvPr id="38" name="Shape 38"/>
        <xdr:cNvSpPr/>
      </xdr:nvSpPr>
      <xdr:spPr>
        <a:xfrm>
          <a:off x="4807838" y="3575213"/>
          <a:ext cx="1076325" cy="409575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9525</xdr:colOff>
      <xdr:row>19</xdr:row>
      <xdr:rowOff>152400</xdr:rowOff>
    </xdr:from>
    <xdr:ext cx="1095375" cy="447675"/>
    <xdr:sp>
      <xdr:nvSpPr>
        <xdr:cNvPr id="40" name="Shape 40"/>
        <xdr:cNvSpPr/>
      </xdr:nvSpPr>
      <xdr:spPr>
        <a:xfrm>
          <a:off x="4807838" y="3565688"/>
          <a:ext cx="1076325" cy="428625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19050</xdr:colOff>
      <xdr:row>3</xdr:row>
      <xdr:rowOff>9525</xdr:rowOff>
    </xdr:from>
    <xdr:ext cx="390525" cy="2143125"/>
    <xdr:sp>
      <xdr:nvSpPr>
        <xdr:cNvPr id="42" name="Shape 42"/>
        <xdr:cNvSpPr/>
      </xdr:nvSpPr>
      <xdr:spPr>
        <a:xfrm flipH="1">
          <a:off x="5160263" y="2717963"/>
          <a:ext cx="371475" cy="2124075"/>
        </a:xfrm>
        <a:prstGeom prst="rtTriangle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133350</xdr:colOff>
      <xdr:row>24</xdr:row>
      <xdr:rowOff>9525</xdr:rowOff>
    </xdr:from>
    <xdr:ext cx="714375" cy="933450"/>
    <xdr:sp>
      <xdr:nvSpPr>
        <xdr:cNvPr id="43" name="Shape 43"/>
        <xdr:cNvSpPr/>
      </xdr:nvSpPr>
      <xdr:spPr>
        <a:xfrm rot="-5400000">
          <a:off x="4888800" y="3432338"/>
          <a:ext cx="914400" cy="695325"/>
        </a:xfrm>
        <a:prstGeom prst="flowChartManualInpu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8</xdr:row>
      <xdr:rowOff>66675</xdr:rowOff>
    </xdr:from>
    <xdr:ext cx="838200" cy="38100"/>
    <xdr:grpSp>
      <xdr:nvGrpSpPr>
        <xdr:cNvPr id="2" name="Shape 2"/>
        <xdr:cNvGrpSpPr/>
      </xdr:nvGrpSpPr>
      <xdr:grpSpPr>
        <a:xfrm>
          <a:off x="4926900" y="3775238"/>
          <a:ext cx="838200" cy="9525"/>
          <a:chOff x="4926900" y="3775238"/>
          <a:chExt cx="838200" cy="9525"/>
        </a:xfrm>
      </xdr:grpSpPr>
      <xdr:cxnSp>
        <xdr:nvCxnSpPr>
          <xdr:cNvPr id="44" name="Shape 44"/>
          <xdr:cNvCxnSpPr/>
        </xdr:nvCxnSpPr>
        <xdr:spPr>
          <a:xfrm flipH="1">
            <a:off x="4926900" y="3775238"/>
            <a:ext cx="838200" cy="95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22</xdr:col>
      <xdr:colOff>409575</xdr:colOff>
      <xdr:row>3</xdr:row>
      <xdr:rowOff>0</xdr:rowOff>
    </xdr:from>
    <xdr:ext cx="342900" cy="2162175"/>
    <xdr:sp>
      <xdr:nvSpPr>
        <xdr:cNvPr id="45" name="Shape 45"/>
        <xdr:cNvSpPr/>
      </xdr:nvSpPr>
      <xdr:spPr>
        <a:xfrm>
          <a:off x="5184075" y="2708438"/>
          <a:ext cx="323850" cy="2143125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390525</xdr:colOff>
      <xdr:row>19</xdr:row>
      <xdr:rowOff>104775</xdr:rowOff>
    </xdr:from>
    <xdr:ext cx="1095375" cy="428625"/>
    <xdr:sp>
      <xdr:nvSpPr>
        <xdr:cNvPr id="38" name="Shape 38"/>
        <xdr:cNvSpPr/>
      </xdr:nvSpPr>
      <xdr:spPr>
        <a:xfrm>
          <a:off x="4807838" y="3575213"/>
          <a:ext cx="1076325" cy="409575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24</xdr:col>
      <xdr:colOff>9525</xdr:colOff>
      <xdr:row>19</xdr:row>
      <xdr:rowOff>152400</xdr:rowOff>
    </xdr:from>
    <xdr:ext cx="1095375" cy="447675"/>
    <xdr:sp>
      <xdr:nvSpPr>
        <xdr:cNvPr id="40" name="Shape 40"/>
        <xdr:cNvSpPr/>
      </xdr:nvSpPr>
      <xdr:spPr>
        <a:xfrm>
          <a:off x="4807838" y="3565688"/>
          <a:ext cx="1076325" cy="428625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22</xdr:col>
      <xdr:colOff>19050</xdr:colOff>
      <xdr:row>3</xdr:row>
      <xdr:rowOff>9525</xdr:rowOff>
    </xdr:from>
    <xdr:ext cx="390525" cy="2143125"/>
    <xdr:sp>
      <xdr:nvSpPr>
        <xdr:cNvPr id="23" name="Shape 23"/>
        <xdr:cNvSpPr/>
      </xdr:nvSpPr>
      <xdr:spPr>
        <a:xfrm flipH="1">
          <a:off x="5160263" y="2717963"/>
          <a:ext cx="371475" cy="2124075"/>
        </a:xfrm>
        <a:prstGeom prst="rtTriangle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22</xdr:col>
      <xdr:colOff>133350</xdr:colOff>
      <xdr:row>24</xdr:row>
      <xdr:rowOff>9525</xdr:rowOff>
    </xdr:from>
    <xdr:ext cx="714375" cy="933450"/>
    <xdr:sp>
      <xdr:nvSpPr>
        <xdr:cNvPr id="43" name="Shape 43"/>
        <xdr:cNvSpPr/>
      </xdr:nvSpPr>
      <xdr:spPr>
        <a:xfrm rot="-5400000">
          <a:off x="4888800" y="3432338"/>
          <a:ext cx="914400" cy="695325"/>
        </a:xfrm>
        <a:prstGeom prst="flowChartManualInpu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0</xdr:colOff>
      <xdr:row>17</xdr:row>
      <xdr:rowOff>-19050</xdr:rowOff>
    </xdr:from>
    <xdr:ext cx="1085850" cy="38100"/>
    <xdr:grpSp>
      <xdr:nvGrpSpPr>
        <xdr:cNvPr id="2" name="Shape 2"/>
        <xdr:cNvGrpSpPr/>
      </xdr:nvGrpSpPr>
      <xdr:grpSpPr>
        <a:xfrm>
          <a:off x="4803075" y="3780000"/>
          <a:ext cx="1085850" cy="0"/>
          <a:chOff x="4803075" y="3780000"/>
          <a:chExt cx="1085850" cy="0"/>
        </a:xfrm>
      </xdr:grpSpPr>
      <xdr:cxnSp>
        <xdr:nvCxnSpPr>
          <xdr:cNvPr id="46" name="Shape 46"/>
          <xdr:cNvCxnSpPr/>
        </xdr:nvCxnSpPr>
        <xdr:spPr>
          <a:xfrm>
            <a:off x="4803075" y="3780000"/>
            <a:ext cx="1085850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</xdr:col>
      <xdr:colOff>733425</xdr:colOff>
      <xdr:row>21</xdr:row>
      <xdr:rowOff>38100</xdr:rowOff>
    </xdr:from>
    <xdr:ext cx="800100" cy="504825"/>
    <xdr:sp>
      <xdr:nvSpPr>
        <xdr:cNvPr id="47" name="Shape 47"/>
        <xdr:cNvSpPr/>
      </xdr:nvSpPr>
      <xdr:spPr>
        <a:xfrm rot="-5400000">
          <a:off x="5103113" y="3389475"/>
          <a:ext cx="485775" cy="781050"/>
        </a:xfrm>
        <a:prstGeom prst="flowChartManualInpu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704850</xdr:colOff>
      <xdr:row>21</xdr:row>
      <xdr:rowOff>-19050</xdr:rowOff>
    </xdr:from>
    <xdr:ext cx="838200" cy="38100"/>
    <xdr:grpSp>
      <xdr:nvGrpSpPr>
        <xdr:cNvPr id="2" name="Shape 2"/>
        <xdr:cNvGrpSpPr/>
      </xdr:nvGrpSpPr>
      <xdr:grpSpPr>
        <a:xfrm>
          <a:off x="4926900" y="3780000"/>
          <a:ext cx="838200" cy="0"/>
          <a:chOff x="4926900" y="3780000"/>
          <a:chExt cx="838200" cy="0"/>
        </a:xfrm>
      </xdr:grpSpPr>
      <xdr:cxnSp>
        <xdr:nvCxnSpPr>
          <xdr:cNvPr id="48" name="Shape 48"/>
          <xdr:cNvCxnSpPr/>
        </xdr:nvCxnSpPr>
        <xdr:spPr>
          <a:xfrm>
            <a:off x="4926900" y="3780000"/>
            <a:ext cx="838200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3</xdr:col>
      <xdr:colOff>57150</xdr:colOff>
      <xdr:row>21</xdr:row>
      <xdr:rowOff>85725</xdr:rowOff>
    </xdr:from>
    <xdr:ext cx="38100" cy="466725"/>
    <xdr:grpSp>
      <xdr:nvGrpSpPr>
        <xdr:cNvPr id="2" name="Shape 2"/>
        <xdr:cNvGrpSpPr/>
      </xdr:nvGrpSpPr>
      <xdr:grpSpPr>
        <a:xfrm>
          <a:off x="5346000" y="3546638"/>
          <a:ext cx="0" cy="466725"/>
          <a:chOff x="5346000" y="3546638"/>
          <a:chExt cx="0" cy="466725"/>
        </a:xfrm>
      </xdr:grpSpPr>
      <xdr:cxnSp>
        <xdr:nvCxnSpPr>
          <xdr:cNvPr id="49" name="Shape 49"/>
          <xdr:cNvCxnSpPr/>
        </xdr:nvCxnSpPr>
        <xdr:spPr>
          <a:xfrm>
            <a:off x="5346000" y="3546638"/>
            <a:ext cx="0" cy="4667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33</xdr:col>
      <xdr:colOff>19050</xdr:colOff>
      <xdr:row>4</xdr:row>
      <xdr:rowOff>152400</xdr:rowOff>
    </xdr:from>
    <xdr:ext cx="276225" cy="142875"/>
    <xdr:grpSp>
      <xdr:nvGrpSpPr>
        <xdr:cNvPr id="2" name="Shape 2"/>
        <xdr:cNvGrpSpPr/>
      </xdr:nvGrpSpPr>
      <xdr:grpSpPr>
        <a:xfrm>
          <a:off x="5217413" y="3718088"/>
          <a:ext cx="257175" cy="123825"/>
          <a:chOff x="5217413" y="3718088"/>
          <a:chExt cx="257175" cy="123825"/>
        </a:xfrm>
      </xdr:grpSpPr>
      <xdr:cxnSp>
        <xdr:nvCxnSpPr>
          <xdr:cNvPr id="50" name="Shape 50"/>
          <xdr:cNvCxnSpPr/>
        </xdr:nvCxnSpPr>
        <xdr:spPr>
          <a:xfrm>
            <a:off x="5217413" y="3718088"/>
            <a:ext cx="257175" cy="1238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31</xdr:col>
      <xdr:colOff>314325</xdr:colOff>
      <xdr:row>4</xdr:row>
      <xdr:rowOff>171450</xdr:rowOff>
    </xdr:from>
    <xdr:ext cx="1000125" cy="600075"/>
    <xdr:grpSp>
      <xdr:nvGrpSpPr>
        <xdr:cNvPr id="2" name="Shape 2"/>
        <xdr:cNvGrpSpPr/>
      </xdr:nvGrpSpPr>
      <xdr:grpSpPr>
        <a:xfrm>
          <a:off x="4855463" y="3489488"/>
          <a:ext cx="981075" cy="581025"/>
          <a:chOff x="4855463" y="3489488"/>
          <a:chExt cx="981075" cy="581025"/>
        </a:xfrm>
      </xdr:grpSpPr>
      <xdr:cxnSp>
        <xdr:nvCxnSpPr>
          <xdr:cNvPr id="51" name="Shape 51"/>
          <xdr:cNvCxnSpPr/>
        </xdr:nvCxnSpPr>
        <xdr:spPr>
          <a:xfrm flipH="1">
            <a:off x="4855463" y="3489488"/>
            <a:ext cx="981075" cy="5810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33</xdr:col>
      <xdr:colOff>57150</xdr:colOff>
      <xdr:row>11</xdr:row>
      <xdr:rowOff>9525</xdr:rowOff>
    </xdr:from>
    <xdr:ext cx="295275" cy="304800"/>
    <xdr:grpSp>
      <xdr:nvGrpSpPr>
        <xdr:cNvPr id="2" name="Shape 2"/>
        <xdr:cNvGrpSpPr/>
      </xdr:nvGrpSpPr>
      <xdr:grpSpPr>
        <a:xfrm>
          <a:off x="5207888" y="3637125"/>
          <a:ext cx="276225" cy="285750"/>
          <a:chOff x="5207888" y="3637125"/>
          <a:chExt cx="276225" cy="285750"/>
        </a:xfrm>
      </xdr:grpSpPr>
      <xdr:cxnSp>
        <xdr:nvCxnSpPr>
          <xdr:cNvPr id="52" name="Shape 52"/>
          <xdr:cNvCxnSpPr/>
        </xdr:nvCxnSpPr>
        <xdr:spPr>
          <a:xfrm>
            <a:off x="5207888" y="3637125"/>
            <a:ext cx="276225" cy="28575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31</xdr:col>
      <xdr:colOff>361950</xdr:colOff>
      <xdr:row>10</xdr:row>
      <xdr:rowOff>142875</xdr:rowOff>
    </xdr:from>
    <xdr:ext cx="895350" cy="38100"/>
    <xdr:grpSp>
      <xdr:nvGrpSpPr>
        <xdr:cNvPr id="2" name="Shape 2"/>
        <xdr:cNvGrpSpPr/>
      </xdr:nvGrpSpPr>
      <xdr:grpSpPr>
        <a:xfrm>
          <a:off x="4898325" y="3765713"/>
          <a:ext cx="895350" cy="28575"/>
          <a:chOff x="4898325" y="3765713"/>
          <a:chExt cx="895350" cy="28575"/>
        </a:xfrm>
      </xdr:grpSpPr>
      <xdr:cxnSp>
        <xdr:nvCxnSpPr>
          <xdr:cNvPr id="53" name="Shape 53"/>
          <xdr:cNvCxnSpPr/>
        </xdr:nvCxnSpPr>
        <xdr:spPr>
          <a:xfrm rot="10800000">
            <a:off x="4898325" y="3765713"/>
            <a:ext cx="895350" cy="2857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32</xdr:col>
      <xdr:colOff>733425</xdr:colOff>
      <xdr:row>17</xdr:row>
      <xdr:rowOff>114300</xdr:rowOff>
    </xdr:from>
    <xdr:ext cx="371475" cy="161925"/>
    <xdr:grpSp>
      <xdr:nvGrpSpPr>
        <xdr:cNvPr id="2" name="Shape 2"/>
        <xdr:cNvGrpSpPr/>
      </xdr:nvGrpSpPr>
      <xdr:grpSpPr>
        <a:xfrm>
          <a:off x="5169788" y="3708563"/>
          <a:ext cx="352425" cy="142875"/>
          <a:chOff x="5169788" y="3708563"/>
          <a:chExt cx="352425" cy="142875"/>
        </a:xfrm>
      </xdr:grpSpPr>
      <xdr:cxnSp>
        <xdr:nvCxnSpPr>
          <xdr:cNvPr id="54" name="Shape 54"/>
          <xdr:cNvCxnSpPr/>
        </xdr:nvCxnSpPr>
        <xdr:spPr>
          <a:xfrm flipH="1" rot="10800000">
            <a:off x="5169788" y="3708563"/>
            <a:ext cx="352425" cy="14287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31</xdr:col>
      <xdr:colOff>19050</xdr:colOff>
      <xdr:row>21</xdr:row>
      <xdr:rowOff>180975</xdr:rowOff>
    </xdr:from>
    <xdr:ext cx="114300" cy="257175"/>
    <xdr:grpSp>
      <xdr:nvGrpSpPr>
        <xdr:cNvPr id="2" name="Shape 2"/>
        <xdr:cNvGrpSpPr/>
      </xdr:nvGrpSpPr>
      <xdr:grpSpPr>
        <a:xfrm>
          <a:off x="5298375" y="3660938"/>
          <a:ext cx="95250" cy="238125"/>
          <a:chOff x="5298375" y="3660938"/>
          <a:chExt cx="95250" cy="238125"/>
        </a:xfrm>
      </xdr:grpSpPr>
      <xdr:cxnSp>
        <xdr:nvCxnSpPr>
          <xdr:cNvPr id="55" name="Shape 55"/>
          <xdr:cNvCxnSpPr/>
        </xdr:nvCxnSpPr>
        <xdr:spPr>
          <a:xfrm rot="10800000">
            <a:off x="5298375" y="3660938"/>
            <a:ext cx="95250" cy="2381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31</xdr:col>
      <xdr:colOff>333375</xdr:colOff>
      <xdr:row>20</xdr:row>
      <xdr:rowOff>95250</xdr:rowOff>
    </xdr:from>
    <xdr:ext cx="409575" cy="495300"/>
    <xdr:grpSp>
      <xdr:nvGrpSpPr>
        <xdr:cNvPr id="2" name="Shape 2"/>
        <xdr:cNvGrpSpPr/>
      </xdr:nvGrpSpPr>
      <xdr:grpSpPr>
        <a:xfrm>
          <a:off x="5150738" y="3541875"/>
          <a:ext cx="390525" cy="476250"/>
          <a:chOff x="5150738" y="3541875"/>
          <a:chExt cx="390525" cy="476250"/>
        </a:xfrm>
      </xdr:grpSpPr>
      <xdr:cxnSp>
        <xdr:nvCxnSpPr>
          <xdr:cNvPr id="56" name="Shape 56"/>
          <xdr:cNvCxnSpPr/>
        </xdr:nvCxnSpPr>
        <xdr:spPr>
          <a:xfrm rot="10800000">
            <a:off x="5150738" y="3541875"/>
            <a:ext cx="390525" cy="47625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31</xdr:col>
      <xdr:colOff>200025</xdr:colOff>
      <xdr:row>24</xdr:row>
      <xdr:rowOff>95250</xdr:rowOff>
    </xdr:from>
    <xdr:ext cx="38100" cy="447675"/>
    <xdr:grpSp>
      <xdr:nvGrpSpPr>
        <xdr:cNvPr id="2" name="Shape 2"/>
        <xdr:cNvGrpSpPr/>
      </xdr:nvGrpSpPr>
      <xdr:grpSpPr>
        <a:xfrm>
          <a:off x="5331713" y="3556163"/>
          <a:ext cx="28575" cy="447675"/>
          <a:chOff x="5331713" y="3556163"/>
          <a:chExt cx="28575" cy="447675"/>
        </a:xfrm>
      </xdr:grpSpPr>
      <xdr:cxnSp>
        <xdr:nvCxnSpPr>
          <xdr:cNvPr id="57" name="Shape 57"/>
          <xdr:cNvCxnSpPr/>
        </xdr:nvCxnSpPr>
        <xdr:spPr>
          <a:xfrm>
            <a:off x="5331713" y="3556163"/>
            <a:ext cx="28575" cy="44767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31</xdr:col>
      <xdr:colOff>209550</xdr:colOff>
      <xdr:row>24</xdr:row>
      <xdr:rowOff>95250</xdr:rowOff>
    </xdr:from>
    <xdr:ext cx="514350" cy="657225"/>
    <xdr:grpSp>
      <xdr:nvGrpSpPr>
        <xdr:cNvPr id="2" name="Shape 2"/>
        <xdr:cNvGrpSpPr/>
      </xdr:nvGrpSpPr>
      <xdr:grpSpPr>
        <a:xfrm>
          <a:off x="5098350" y="3460913"/>
          <a:ext cx="495300" cy="638175"/>
          <a:chOff x="5098350" y="3460913"/>
          <a:chExt cx="495300" cy="638175"/>
        </a:xfrm>
      </xdr:grpSpPr>
      <xdr:cxnSp>
        <xdr:nvCxnSpPr>
          <xdr:cNvPr id="58" name="Shape 58"/>
          <xdr:cNvCxnSpPr/>
        </xdr:nvCxnSpPr>
        <xdr:spPr>
          <a:xfrm flipH="1">
            <a:off x="5098350" y="3460913"/>
            <a:ext cx="495300" cy="63817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36</xdr:col>
      <xdr:colOff>76200</xdr:colOff>
      <xdr:row>21</xdr:row>
      <xdr:rowOff>180975</xdr:rowOff>
    </xdr:from>
    <xdr:ext cx="66675" cy="257175"/>
    <xdr:grpSp>
      <xdr:nvGrpSpPr>
        <xdr:cNvPr id="2" name="Shape 2"/>
        <xdr:cNvGrpSpPr/>
      </xdr:nvGrpSpPr>
      <xdr:grpSpPr>
        <a:xfrm>
          <a:off x="5322188" y="3660938"/>
          <a:ext cx="47625" cy="238125"/>
          <a:chOff x="5322188" y="3660938"/>
          <a:chExt cx="47625" cy="238125"/>
        </a:xfrm>
      </xdr:grpSpPr>
      <xdr:cxnSp>
        <xdr:nvCxnSpPr>
          <xdr:cNvPr id="59" name="Shape 59"/>
          <xdr:cNvCxnSpPr/>
        </xdr:nvCxnSpPr>
        <xdr:spPr>
          <a:xfrm flipH="1" rot="10800000">
            <a:off x="5322188" y="3660938"/>
            <a:ext cx="47625" cy="2381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37</xdr:col>
      <xdr:colOff>304800</xdr:colOff>
      <xdr:row>20</xdr:row>
      <xdr:rowOff>95250</xdr:rowOff>
    </xdr:from>
    <xdr:ext cx="85725" cy="514350"/>
    <xdr:grpSp>
      <xdr:nvGrpSpPr>
        <xdr:cNvPr id="2" name="Shape 2"/>
        <xdr:cNvGrpSpPr/>
      </xdr:nvGrpSpPr>
      <xdr:grpSpPr>
        <a:xfrm>
          <a:off x="5312663" y="3532350"/>
          <a:ext cx="66675" cy="495300"/>
          <a:chOff x="5312663" y="3532350"/>
          <a:chExt cx="66675" cy="495300"/>
        </a:xfrm>
      </xdr:grpSpPr>
      <xdr:cxnSp>
        <xdr:nvCxnSpPr>
          <xdr:cNvPr id="60" name="Shape 60"/>
          <xdr:cNvCxnSpPr/>
        </xdr:nvCxnSpPr>
        <xdr:spPr>
          <a:xfrm rot="10800000">
            <a:off x="5312663" y="3532350"/>
            <a:ext cx="66675" cy="49530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36</xdr:col>
      <xdr:colOff>85725</xdr:colOff>
      <xdr:row>24</xdr:row>
      <xdr:rowOff>104775</xdr:rowOff>
    </xdr:from>
    <xdr:ext cx="38100" cy="314325"/>
    <xdr:grpSp>
      <xdr:nvGrpSpPr>
        <xdr:cNvPr id="2" name="Shape 2"/>
        <xdr:cNvGrpSpPr/>
      </xdr:nvGrpSpPr>
      <xdr:grpSpPr>
        <a:xfrm>
          <a:off x="5341238" y="3622838"/>
          <a:ext cx="9525" cy="314325"/>
          <a:chOff x="5341238" y="3622838"/>
          <a:chExt cx="9525" cy="314325"/>
        </a:xfrm>
      </xdr:grpSpPr>
      <xdr:cxnSp>
        <xdr:nvCxnSpPr>
          <xdr:cNvPr id="61" name="Shape 61"/>
          <xdr:cNvCxnSpPr/>
        </xdr:nvCxnSpPr>
        <xdr:spPr>
          <a:xfrm flipH="1">
            <a:off x="5341238" y="3622838"/>
            <a:ext cx="9525" cy="3143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37</xdr:col>
      <xdr:colOff>381000</xdr:colOff>
      <xdr:row>24</xdr:row>
      <xdr:rowOff>142875</xdr:rowOff>
    </xdr:from>
    <xdr:ext cx="38100" cy="571500"/>
    <xdr:grpSp>
      <xdr:nvGrpSpPr>
        <xdr:cNvPr id="2" name="Shape 2"/>
        <xdr:cNvGrpSpPr/>
      </xdr:nvGrpSpPr>
      <xdr:grpSpPr>
        <a:xfrm>
          <a:off x="5336475" y="3494250"/>
          <a:ext cx="19050" cy="571500"/>
          <a:chOff x="5336475" y="3494250"/>
          <a:chExt cx="19050" cy="571500"/>
        </a:xfrm>
      </xdr:grpSpPr>
      <xdr:cxnSp>
        <xdr:nvCxnSpPr>
          <xdr:cNvPr id="62" name="Shape 62"/>
          <xdr:cNvCxnSpPr/>
        </xdr:nvCxnSpPr>
        <xdr:spPr>
          <a:xfrm flipH="1">
            <a:off x="5336475" y="3494250"/>
            <a:ext cx="19050" cy="57150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32</xdr:col>
      <xdr:colOff>666750</xdr:colOff>
      <xdr:row>27</xdr:row>
      <xdr:rowOff>152400</xdr:rowOff>
    </xdr:from>
    <xdr:ext cx="428625" cy="552450"/>
    <xdr:grpSp>
      <xdr:nvGrpSpPr>
        <xdr:cNvPr id="2" name="Shape 2"/>
        <xdr:cNvGrpSpPr/>
      </xdr:nvGrpSpPr>
      <xdr:grpSpPr>
        <a:xfrm>
          <a:off x="5141213" y="3513300"/>
          <a:ext cx="409575" cy="533400"/>
          <a:chOff x="5141213" y="3513300"/>
          <a:chExt cx="409575" cy="533400"/>
        </a:xfrm>
      </xdr:grpSpPr>
      <xdr:cxnSp>
        <xdr:nvCxnSpPr>
          <xdr:cNvPr id="63" name="Shape 63"/>
          <xdr:cNvCxnSpPr/>
        </xdr:nvCxnSpPr>
        <xdr:spPr>
          <a:xfrm>
            <a:off x="5141213" y="3513300"/>
            <a:ext cx="409575" cy="53340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33</xdr:col>
      <xdr:colOff>47625</xdr:colOff>
      <xdr:row>27</xdr:row>
      <xdr:rowOff>57150</xdr:rowOff>
    </xdr:from>
    <xdr:ext cx="419100" cy="381000"/>
    <xdr:grpSp>
      <xdr:nvGrpSpPr>
        <xdr:cNvPr id="2" name="Shape 2"/>
        <xdr:cNvGrpSpPr/>
      </xdr:nvGrpSpPr>
      <xdr:grpSpPr>
        <a:xfrm>
          <a:off x="5145975" y="3599025"/>
          <a:ext cx="400050" cy="361950"/>
          <a:chOff x="5145975" y="3599025"/>
          <a:chExt cx="400050" cy="361950"/>
        </a:xfrm>
      </xdr:grpSpPr>
      <xdr:cxnSp>
        <xdr:nvCxnSpPr>
          <xdr:cNvPr id="64" name="Shape 64"/>
          <xdr:cNvCxnSpPr/>
        </xdr:nvCxnSpPr>
        <xdr:spPr>
          <a:xfrm>
            <a:off x="5145975" y="3599025"/>
            <a:ext cx="400050" cy="36195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31</xdr:col>
      <xdr:colOff>180975</xdr:colOff>
      <xdr:row>26</xdr:row>
      <xdr:rowOff>85725</xdr:rowOff>
    </xdr:from>
    <xdr:ext cx="1009650" cy="647700"/>
    <xdr:grpSp>
      <xdr:nvGrpSpPr>
        <xdr:cNvPr id="2" name="Shape 2"/>
        <xdr:cNvGrpSpPr/>
      </xdr:nvGrpSpPr>
      <xdr:grpSpPr>
        <a:xfrm>
          <a:off x="4850700" y="3465675"/>
          <a:ext cx="990600" cy="628650"/>
          <a:chOff x="4850700" y="3465675"/>
          <a:chExt cx="990600" cy="628650"/>
        </a:xfrm>
      </xdr:grpSpPr>
      <xdr:cxnSp>
        <xdr:nvCxnSpPr>
          <xdr:cNvPr id="65" name="Shape 65"/>
          <xdr:cNvCxnSpPr/>
        </xdr:nvCxnSpPr>
        <xdr:spPr>
          <a:xfrm flipH="1">
            <a:off x="4850700" y="3465675"/>
            <a:ext cx="990600" cy="62865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33</xdr:col>
      <xdr:colOff>133350</xdr:colOff>
      <xdr:row>23</xdr:row>
      <xdr:rowOff>133350</xdr:rowOff>
    </xdr:from>
    <xdr:ext cx="981075" cy="38100"/>
    <xdr:grpSp>
      <xdr:nvGrpSpPr>
        <xdr:cNvPr id="2" name="Shape 2"/>
        <xdr:cNvGrpSpPr/>
      </xdr:nvGrpSpPr>
      <xdr:grpSpPr>
        <a:xfrm>
          <a:off x="4855463" y="3775238"/>
          <a:ext cx="981075" cy="9525"/>
          <a:chOff x="4855463" y="3775238"/>
          <a:chExt cx="981075" cy="9525"/>
        </a:xfrm>
      </xdr:grpSpPr>
      <xdr:cxnSp>
        <xdr:nvCxnSpPr>
          <xdr:cNvPr id="66" name="Shape 66"/>
          <xdr:cNvCxnSpPr/>
        </xdr:nvCxnSpPr>
        <xdr:spPr>
          <a:xfrm>
            <a:off x="4855463" y="3775238"/>
            <a:ext cx="981075" cy="95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33</xdr:col>
      <xdr:colOff>476250</xdr:colOff>
      <xdr:row>22</xdr:row>
      <xdr:rowOff>133350</xdr:rowOff>
    </xdr:from>
    <xdr:ext cx="476250" cy="266700"/>
    <xdr:sp>
      <xdr:nvSpPr>
        <xdr:cNvPr id="67" name="Shape 67"/>
        <xdr:cNvSpPr txBox="1"/>
      </xdr:nvSpPr>
      <xdr:spPr>
        <a:xfrm>
          <a:off x="5112638" y="3651413"/>
          <a:ext cx="466725" cy="257175"/>
        </a:xfrm>
        <a:prstGeom prst="rect">
          <a:avLst/>
        </a:prstGeom>
        <a:noFill/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L1</a:t>
          </a:r>
          <a:endParaRPr sz="1400"/>
        </a:p>
      </xdr:txBody>
    </xdr:sp>
    <xdr:clientData fLocksWithSheet="0"/>
  </xdr:oneCellAnchor>
  <xdr:oneCellAnchor>
    <xdr:from>
      <xdr:col>44</xdr:col>
      <xdr:colOff>409575</xdr:colOff>
      <xdr:row>3</xdr:row>
      <xdr:rowOff>0</xdr:rowOff>
    </xdr:from>
    <xdr:ext cx="342900" cy="2162175"/>
    <xdr:sp>
      <xdr:nvSpPr>
        <xdr:cNvPr id="45" name="Shape 45"/>
        <xdr:cNvSpPr/>
      </xdr:nvSpPr>
      <xdr:spPr>
        <a:xfrm>
          <a:off x="5184075" y="2708438"/>
          <a:ext cx="323850" cy="2143125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42</xdr:col>
      <xdr:colOff>19050</xdr:colOff>
      <xdr:row>14</xdr:row>
      <xdr:rowOff>9525</xdr:rowOff>
    </xdr:from>
    <xdr:ext cx="1543050" cy="590550"/>
    <xdr:sp>
      <xdr:nvSpPr>
        <xdr:cNvPr id="68" name="Shape 68"/>
        <xdr:cNvSpPr/>
      </xdr:nvSpPr>
      <xdr:spPr>
        <a:xfrm>
          <a:off x="4584000" y="3494250"/>
          <a:ext cx="1524000" cy="571500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46</xdr:col>
      <xdr:colOff>0</xdr:colOff>
      <xdr:row>14</xdr:row>
      <xdr:rowOff>0</xdr:rowOff>
    </xdr:from>
    <xdr:ext cx="1552575" cy="609600"/>
    <xdr:sp>
      <xdr:nvSpPr>
        <xdr:cNvPr id="69" name="Shape 69"/>
        <xdr:cNvSpPr/>
      </xdr:nvSpPr>
      <xdr:spPr>
        <a:xfrm>
          <a:off x="4579238" y="3484725"/>
          <a:ext cx="1533525" cy="590550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44</xdr:col>
      <xdr:colOff>19050</xdr:colOff>
      <xdr:row>3</xdr:row>
      <xdr:rowOff>9525</xdr:rowOff>
    </xdr:from>
    <xdr:ext cx="390525" cy="2143125"/>
    <xdr:sp>
      <xdr:nvSpPr>
        <xdr:cNvPr id="23" name="Shape 23"/>
        <xdr:cNvSpPr/>
      </xdr:nvSpPr>
      <xdr:spPr>
        <a:xfrm flipH="1">
          <a:off x="5160263" y="2717963"/>
          <a:ext cx="371475" cy="2124075"/>
        </a:xfrm>
        <a:prstGeom prst="rtTriangle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44</xdr:col>
      <xdr:colOff>47625</xdr:colOff>
      <xdr:row>19</xdr:row>
      <xdr:rowOff>200025</xdr:rowOff>
    </xdr:from>
    <xdr:ext cx="704850" cy="781050"/>
    <xdr:sp>
      <xdr:nvSpPr>
        <xdr:cNvPr id="70" name="Shape 70"/>
        <xdr:cNvSpPr/>
      </xdr:nvSpPr>
      <xdr:spPr>
        <a:xfrm rot="-5400000">
          <a:off x="4965000" y="3437100"/>
          <a:ext cx="762000" cy="685800"/>
        </a:xfrm>
        <a:prstGeom prst="flowChartManualInpu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742950</xdr:colOff>
      <xdr:row>3</xdr:row>
      <xdr:rowOff>19050</xdr:rowOff>
    </xdr:from>
    <xdr:ext cx="762000" cy="2105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17</xdr:row>
      <xdr:rowOff>28575</xdr:rowOff>
    </xdr:from>
    <xdr:ext cx="1200150" cy="4857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66675</xdr:colOff>
      <xdr:row>24</xdr:row>
      <xdr:rowOff>28575</xdr:rowOff>
    </xdr:from>
    <xdr:ext cx="676275" cy="8382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742950</xdr:colOff>
      <xdr:row>17</xdr:row>
      <xdr:rowOff>66675</xdr:rowOff>
    </xdr:from>
    <xdr:ext cx="1104900" cy="5429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742950</xdr:colOff>
      <xdr:row>3</xdr:row>
      <xdr:rowOff>19050</xdr:rowOff>
    </xdr:from>
    <xdr:ext cx="762000" cy="2105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342900</xdr:colOff>
      <xdr:row>17</xdr:row>
      <xdr:rowOff>28575</xdr:rowOff>
    </xdr:from>
    <xdr:ext cx="1200150" cy="4857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66675</xdr:colOff>
      <xdr:row>24</xdr:row>
      <xdr:rowOff>28575</xdr:rowOff>
    </xdr:from>
    <xdr:ext cx="676275" cy="8763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742950</xdr:colOff>
      <xdr:row>17</xdr:row>
      <xdr:rowOff>66675</xdr:rowOff>
    </xdr:from>
    <xdr:ext cx="1104900" cy="5429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771525" cy="200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600075</xdr:colOff>
      <xdr:row>3</xdr:row>
      <xdr:rowOff>0</xdr:rowOff>
    </xdr:from>
    <xdr:ext cx="685800" cy="2143125"/>
    <xdr:sp>
      <xdr:nvSpPr>
        <xdr:cNvPr id="8" name="Shape 8"/>
        <xdr:cNvSpPr/>
      </xdr:nvSpPr>
      <xdr:spPr>
        <a:xfrm>
          <a:off x="5012625" y="2717963"/>
          <a:ext cx="666750" cy="2124075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97480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95250</xdr:colOff>
      <xdr:row>3</xdr:row>
      <xdr:rowOff>0</xdr:rowOff>
    </xdr:from>
    <xdr:ext cx="638175" cy="2124075"/>
    <xdr:sp>
      <xdr:nvSpPr>
        <xdr:cNvPr id="10" name="Shape 10"/>
        <xdr:cNvSpPr/>
      </xdr:nvSpPr>
      <xdr:spPr>
        <a:xfrm flipH="1">
          <a:off x="5036438" y="2727488"/>
          <a:ext cx="619125" cy="2105025"/>
        </a:xfrm>
        <a:prstGeom prst="rtTriangle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9525</xdr:colOff>
      <xdr:row>13</xdr:row>
      <xdr:rowOff>57150</xdr:rowOff>
    </xdr:from>
    <xdr:ext cx="3143250" cy="504825"/>
    <xdr:sp>
      <xdr:nvSpPr>
        <xdr:cNvPr id="12" name="Shape 12"/>
        <xdr:cNvSpPr/>
      </xdr:nvSpPr>
      <xdr:spPr>
        <a:xfrm>
          <a:off x="3783900" y="3537113"/>
          <a:ext cx="3124200" cy="485775"/>
        </a:xfrm>
        <a:prstGeom prst="rect">
          <a:avLst/>
        </a:prstGeom>
        <a:blipFill rotWithShape="1">
          <a:blip r:embed="rId1">
            <a:alphaModFix/>
          </a:blip>
          <a:tile algn="tl" flip="none" tx="0" sx="100000" ty="0" sy="100000"/>
        </a:blip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16</xdr:row>
      <xdr:rowOff>171450</xdr:rowOff>
    </xdr:from>
    <xdr:ext cx="3038475" cy="38100"/>
    <xdr:grpSp>
      <xdr:nvGrpSpPr>
        <xdr:cNvPr id="2" name="Shape 2"/>
        <xdr:cNvGrpSpPr/>
      </xdr:nvGrpSpPr>
      <xdr:grpSpPr>
        <a:xfrm>
          <a:off x="3826763" y="3780000"/>
          <a:ext cx="3038475" cy="0"/>
          <a:chOff x="3826763" y="3780000"/>
          <a:chExt cx="3038475" cy="0"/>
        </a:xfrm>
      </xdr:grpSpPr>
      <xdr:cxnSp>
        <xdr:nvCxnSpPr>
          <xdr:cNvPr id="15" name="Shape 15"/>
          <xdr:cNvCxnSpPr/>
        </xdr:nvCxnSpPr>
        <xdr:spPr>
          <a:xfrm>
            <a:off x="3826763" y="3780000"/>
            <a:ext cx="303847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4</xdr:col>
      <xdr:colOff>781050</xdr:colOff>
      <xdr:row>15</xdr:row>
      <xdr:rowOff>200025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17" name="Shape 17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9</xdr:col>
      <xdr:colOff>342900</xdr:colOff>
      <xdr:row>13</xdr:row>
      <xdr:rowOff>95250</xdr:rowOff>
    </xdr:from>
    <xdr:ext cx="38100" cy="447675"/>
    <xdr:grpSp>
      <xdr:nvGrpSpPr>
        <xdr:cNvPr id="2" name="Shape 2"/>
        <xdr:cNvGrpSpPr/>
      </xdr:nvGrpSpPr>
      <xdr:grpSpPr>
        <a:xfrm>
          <a:off x="5341238" y="3556163"/>
          <a:ext cx="9525" cy="447675"/>
          <a:chOff x="5341238" y="3556163"/>
          <a:chExt cx="9525" cy="447675"/>
        </a:xfrm>
      </xdr:grpSpPr>
      <xdr:cxnSp>
        <xdr:nvCxnSpPr>
          <xdr:cNvPr id="19" name="Shape 19"/>
          <xdr:cNvCxnSpPr/>
        </xdr:nvCxnSpPr>
        <xdr:spPr>
          <a:xfrm flipH="1">
            <a:off x="5341238" y="3556163"/>
            <a:ext cx="9525" cy="44767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180975</xdr:colOff>
      <xdr:row>3</xdr:row>
      <xdr:rowOff>66675</xdr:rowOff>
    </xdr:from>
    <xdr:ext cx="38100" cy="1933575"/>
    <xdr:grpSp>
      <xdr:nvGrpSpPr>
        <xdr:cNvPr id="2" name="Shape 2"/>
        <xdr:cNvGrpSpPr/>
      </xdr:nvGrpSpPr>
      <xdr:grpSpPr>
        <a:xfrm>
          <a:off x="5331713" y="2813213"/>
          <a:ext cx="28575" cy="1933575"/>
          <a:chOff x="5331713" y="2813213"/>
          <a:chExt cx="28575" cy="1933575"/>
        </a:xfrm>
      </xdr:grpSpPr>
      <xdr:cxnSp>
        <xdr:nvCxnSpPr>
          <xdr:cNvPr id="11" name="Shape 11"/>
          <xdr:cNvCxnSpPr/>
        </xdr:nvCxnSpPr>
        <xdr:spPr>
          <a:xfrm>
            <a:off x="5331713" y="2813213"/>
            <a:ext cx="28575" cy="193357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723900</xdr:colOff>
      <xdr:row>2</xdr:row>
      <xdr:rowOff>0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22" name="Shape 22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57150</xdr:colOff>
      <xdr:row>11</xdr:row>
      <xdr:rowOff>19050</xdr:rowOff>
    </xdr:from>
    <xdr:ext cx="323850" cy="390525"/>
    <xdr:grpSp>
      <xdr:nvGrpSpPr>
        <xdr:cNvPr id="2" name="Shape 2"/>
        <xdr:cNvGrpSpPr/>
      </xdr:nvGrpSpPr>
      <xdr:grpSpPr>
        <a:xfrm>
          <a:off x="5160263" y="3627600"/>
          <a:ext cx="371475" cy="304800"/>
          <a:chOff x="5160263" y="3627600"/>
          <a:chExt cx="371475" cy="304800"/>
        </a:xfrm>
      </xdr:grpSpPr>
      <xdr:cxnSp>
        <xdr:nvCxnSpPr>
          <xdr:cNvPr id="24" name="Shape 24"/>
          <xdr:cNvCxnSpPr/>
        </xdr:nvCxnSpPr>
        <xdr:spPr>
          <a:xfrm flipH="1" rot="-5400000">
            <a:off x="5160263" y="3627600"/>
            <a:ext cx="371475" cy="304800"/>
          </a:xfrm>
          <a:prstGeom prst="bentConnector3">
            <a:avLst>
              <a:gd fmla="val 50000" name="adj1"/>
            </a:avLst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171450</xdr:colOff>
      <xdr:row>15</xdr:row>
      <xdr:rowOff>200025</xdr:rowOff>
    </xdr:from>
    <xdr:ext cx="1266825" cy="38100"/>
    <xdr:grpSp>
      <xdr:nvGrpSpPr>
        <xdr:cNvPr id="2" name="Shape 2"/>
        <xdr:cNvGrpSpPr/>
      </xdr:nvGrpSpPr>
      <xdr:grpSpPr>
        <a:xfrm>
          <a:off x="4712588" y="3775238"/>
          <a:ext cx="1266825" cy="9525"/>
          <a:chOff x="4712588" y="3775238"/>
          <a:chExt cx="1266825" cy="9525"/>
        </a:xfrm>
      </xdr:grpSpPr>
      <xdr:cxnSp>
        <xdr:nvCxnSpPr>
          <xdr:cNvPr id="26" name="Shape 26"/>
          <xdr:cNvCxnSpPr/>
        </xdr:nvCxnSpPr>
        <xdr:spPr>
          <a:xfrm flipH="1" rot="10800000">
            <a:off x="4712588" y="3775238"/>
            <a:ext cx="1266825" cy="9525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10</xdr:col>
      <xdr:colOff>-133350</xdr:colOff>
      <xdr:row>0</xdr:row>
      <xdr:rowOff>-19050</xdr:rowOff>
    </xdr:from>
    <xdr:ext cx="2133600" cy="3019425"/>
    <xdr:sp>
      <xdr:nvSpPr>
        <xdr:cNvPr id="28" name="Shape 28"/>
        <xdr:cNvSpPr/>
      </xdr:nvSpPr>
      <xdr:spPr>
        <a:xfrm rot="-1256818">
          <a:off x="4741163" y="2403638"/>
          <a:ext cx="1209675" cy="2752725"/>
        </a:xfrm>
        <a:prstGeom prst="rtTriangle">
          <a:avLst/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723900</xdr:colOff>
      <xdr:row>22</xdr:row>
      <xdr:rowOff>0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30" name="Shape 30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10</xdr:col>
      <xdr:colOff>0</xdr:colOff>
      <xdr:row>20</xdr:row>
      <xdr:rowOff>66675</xdr:rowOff>
    </xdr:from>
    <xdr:ext cx="1724025" cy="552450"/>
    <xdr:grpSp>
      <xdr:nvGrpSpPr>
        <xdr:cNvPr id="2" name="Shape 2"/>
        <xdr:cNvGrpSpPr/>
      </xdr:nvGrpSpPr>
      <xdr:grpSpPr>
        <a:xfrm>
          <a:off x="4488750" y="3508538"/>
          <a:ext cx="1714500" cy="542925"/>
          <a:chOff x="4488750" y="3508538"/>
          <a:chExt cx="1714500" cy="542925"/>
        </a:xfrm>
      </xdr:grpSpPr>
      <xdr:cxnSp>
        <xdr:nvCxnSpPr>
          <xdr:cNvPr id="33" name="Shape 33"/>
          <xdr:cNvCxnSpPr/>
        </xdr:nvCxnSpPr>
        <xdr:spPr>
          <a:xfrm flipH="1" rot="10800000">
            <a:off x="4488750" y="3508538"/>
            <a:ext cx="1714500" cy="542925"/>
          </a:xfrm>
          <a:prstGeom prst="straightConnector1">
            <a:avLst/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10</xdr:col>
      <xdr:colOff>0</xdr:colOff>
      <xdr:row>21</xdr:row>
      <xdr:rowOff>104775</xdr:rowOff>
    </xdr:from>
    <xdr:ext cx="1009650" cy="323850"/>
    <xdr:sp>
      <xdr:nvSpPr>
        <xdr:cNvPr id="35" name="Shape 35"/>
        <xdr:cNvSpPr/>
      </xdr:nvSpPr>
      <xdr:spPr>
        <a:xfrm flipH="1">
          <a:off x="4850700" y="3627600"/>
          <a:ext cx="990600" cy="304800"/>
        </a:xfrm>
        <a:prstGeom prst="rtTriangle">
          <a:avLst/>
        </a:prstGeom>
        <a:blipFill rotWithShape="1">
          <a:blip r:embed="rId2">
            <a:alphaModFix/>
          </a:blip>
          <a:tile algn="tl" flip="none" tx="0" sx="100000" ty="0" sy="100000"/>
        </a:blipFill>
        <a:ln cap="flat" cmpd="sng" w="25400">
          <a:solidFill>
            <a:srgbClr val="92CCD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-9525</xdr:colOff>
      <xdr:row>21</xdr:row>
      <xdr:rowOff>-133350</xdr:rowOff>
    </xdr:from>
    <xdr:ext cx="1047750" cy="552450"/>
    <xdr:sp>
      <xdr:nvSpPr>
        <xdr:cNvPr id="37" name="Shape 37"/>
        <xdr:cNvSpPr/>
      </xdr:nvSpPr>
      <xdr:spPr>
        <a:xfrm rot="-1154081">
          <a:off x="4836413" y="3684750"/>
          <a:ext cx="1019175" cy="190500"/>
        </a:xfrm>
        <a:prstGeom prst="parallelogram">
          <a:avLst>
            <a:gd fmla="val 25000" name="adj"/>
          </a:avLst>
        </a:prstGeom>
        <a:blipFill rotWithShape="1">
          <a:blip r:embed="rId2">
            <a:alphaModFix/>
          </a:blip>
          <a:tile algn="tl" flip="none" tx="0" sx="100000" ty="0" sy="100000"/>
        </a:blip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47625</xdr:colOff>
      <xdr:row>1</xdr:row>
      <xdr:rowOff>95250</xdr:rowOff>
    </xdr:from>
    <xdr:ext cx="1552575" cy="2924175"/>
    <xdr:sp>
      <xdr:nvSpPr>
        <xdr:cNvPr id="39" name="Shape 39"/>
        <xdr:cNvSpPr/>
      </xdr:nvSpPr>
      <xdr:spPr>
        <a:xfrm rot="-1274667">
          <a:off x="5112638" y="2308388"/>
          <a:ext cx="466725" cy="294322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723900</xdr:colOff>
      <xdr:row>16</xdr:row>
      <xdr:rowOff>-9525</xdr:rowOff>
    </xdr:from>
    <xdr:ext cx="1076325" cy="38100"/>
    <xdr:grpSp>
      <xdr:nvGrpSpPr>
        <xdr:cNvPr id="2" name="Shape 2"/>
        <xdr:cNvGrpSpPr/>
      </xdr:nvGrpSpPr>
      <xdr:grpSpPr>
        <a:xfrm>
          <a:off x="4807838" y="3780000"/>
          <a:ext cx="1076325" cy="0"/>
          <a:chOff x="4807838" y="3780000"/>
          <a:chExt cx="1076325" cy="0"/>
        </a:xfrm>
      </xdr:grpSpPr>
      <xdr:cxnSp>
        <xdr:nvCxnSpPr>
          <xdr:cNvPr id="41" name="Shape 41"/>
          <xdr:cNvCxnSpPr/>
        </xdr:nvCxnSpPr>
        <xdr:spPr>
          <a:xfrm>
            <a:off x="4807838" y="3780000"/>
            <a:ext cx="1076325" cy="0"/>
          </a:xfrm>
          <a:prstGeom prst="straightConnector1">
            <a:avLst/>
          </a:prstGeom>
          <a:noFill/>
          <a:ln cap="flat" cmpd="sng" w="25400">
            <a:solidFill>
              <a:schemeClr val="dk1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2.75"/>
    <col customWidth="1" min="3" max="3" width="11.88"/>
    <col customWidth="1" min="4" max="4" width="10.75"/>
    <col customWidth="1" min="5" max="5" width="12.38"/>
    <col customWidth="1" min="6" max="6" width="16.63"/>
    <col customWidth="1" min="7" max="7" width="11.38"/>
    <col customWidth="1" min="8" max="9" width="11.63"/>
    <col customWidth="1" min="10" max="10" width="11.38"/>
    <col customWidth="1" min="11" max="11" width="12.88"/>
    <col customWidth="1" min="12" max="12" width="11.88"/>
    <col customWidth="1" min="13" max="14" width="11.63"/>
    <col customWidth="1" min="15" max="15" width="12.0"/>
    <col customWidth="1" min="16" max="17" width="11.63"/>
    <col customWidth="1" min="18" max="22" width="11.38"/>
    <col customWidth="1" min="23" max="23" width="13.63"/>
    <col customWidth="1" min="24" max="53" width="11.38"/>
  </cols>
  <sheetData>
    <row r="1" ht="35.25" customHeight="1">
      <c r="A1" s="56" t="s">
        <v>28</v>
      </c>
      <c r="B1" s="57"/>
      <c r="C1" s="57"/>
      <c r="D1" s="57"/>
      <c r="E1" s="57"/>
      <c r="F1" s="57"/>
      <c r="G1" s="57"/>
      <c r="H1" s="1"/>
      <c r="I1" s="1"/>
      <c r="J1" s="1"/>
      <c r="K1" s="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ht="21.0" customHeight="1">
      <c r="A2" s="62"/>
      <c r="H2" s="1"/>
      <c r="I2" s="1"/>
      <c r="J2" s="1"/>
      <c r="K2" s="1"/>
      <c r="L2" s="4"/>
      <c r="M2" s="4"/>
      <c r="N2" s="4"/>
      <c r="O2" s="4"/>
      <c r="P2" s="4"/>
      <c r="Q2" s="64"/>
      <c r="R2" s="65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ht="16.5" customHeight="1">
      <c r="A3" s="67" t="s">
        <v>36</v>
      </c>
      <c r="B3" s="10"/>
      <c r="C3" s="10"/>
      <c r="D3" s="4"/>
      <c r="E3" s="4"/>
      <c r="F3" s="1"/>
      <c r="G3" s="1"/>
      <c r="H3" s="69">
        <f>B9</f>
        <v>0.2</v>
      </c>
      <c r="I3" s="1"/>
      <c r="J3" s="1"/>
      <c r="K3" s="1"/>
      <c r="L3" s="4"/>
      <c r="M3" s="4"/>
      <c r="N3" s="4"/>
      <c r="O3" s="4"/>
      <c r="P3" s="4"/>
      <c r="Q3" s="70"/>
      <c r="R3" s="73"/>
      <c r="S3" s="7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ht="16.5" customHeight="1">
      <c r="A4" s="47" t="s">
        <v>41</v>
      </c>
      <c r="B4" s="59">
        <v>4.0</v>
      </c>
      <c r="C4" s="49" t="s">
        <v>42</v>
      </c>
      <c r="D4" s="4"/>
      <c r="E4" s="4"/>
      <c r="F4" s="1"/>
      <c r="G4" s="1"/>
      <c r="H4" s="1"/>
      <c r="I4" s="11">
        <f>B4-J15</f>
        <v>3.6</v>
      </c>
      <c r="J4" s="1"/>
      <c r="K4" s="1"/>
      <c r="L4" s="4"/>
      <c r="M4" s="4"/>
      <c r="N4" s="4"/>
      <c r="O4" s="4"/>
      <c r="P4" s="4"/>
      <c r="Q4" s="76"/>
      <c r="R4" s="73"/>
      <c r="S4" s="7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ht="16.5" customHeight="1">
      <c r="A5" s="47" t="s">
        <v>47</v>
      </c>
      <c r="B5" s="59">
        <v>10.5</v>
      </c>
      <c r="C5" s="49" t="s">
        <v>48</v>
      </c>
      <c r="D5" s="4"/>
      <c r="E5" s="4"/>
      <c r="F5" s="1"/>
      <c r="G5" s="1"/>
      <c r="H5" s="1"/>
      <c r="J5" s="1"/>
      <c r="K5" s="1"/>
      <c r="L5" s="4"/>
      <c r="M5" s="4"/>
      <c r="N5" s="4"/>
      <c r="O5" s="4"/>
      <c r="P5" s="4"/>
      <c r="Q5" s="70"/>
      <c r="R5" s="73"/>
      <c r="S5" s="7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ht="16.5" customHeight="1">
      <c r="A6" s="4"/>
      <c r="B6" s="4"/>
      <c r="C6" s="4"/>
      <c r="D6" s="4"/>
      <c r="E6" s="4"/>
      <c r="F6" s="1"/>
      <c r="G6" s="1"/>
      <c r="H6" s="1"/>
      <c r="J6" s="1"/>
      <c r="K6" s="1"/>
      <c r="L6" s="4"/>
      <c r="M6" s="4"/>
      <c r="N6" s="4"/>
      <c r="O6" s="4"/>
      <c r="P6" s="4"/>
      <c r="Q6" s="80"/>
      <c r="R6" s="73"/>
      <c r="S6" s="7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81" t="s">
        <v>53</v>
      </c>
      <c r="AT6" s="81" t="s">
        <v>54</v>
      </c>
      <c r="AU6" s="4"/>
      <c r="AV6" s="4"/>
      <c r="AW6" s="4"/>
      <c r="AX6" s="4"/>
      <c r="AY6" s="4"/>
      <c r="AZ6" s="4"/>
      <c r="BA6" s="4"/>
    </row>
    <row r="7" ht="16.5" customHeight="1">
      <c r="A7" s="45" t="s">
        <v>55</v>
      </c>
      <c r="B7" s="10"/>
      <c r="C7" s="10"/>
      <c r="D7" s="4"/>
      <c r="E7" s="4"/>
      <c r="F7" s="1"/>
      <c r="G7" s="1"/>
      <c r="H7" s="1"/>
      <c r="J7" s="1"/>
      <c r="K7" s="1"/>
      <c r="L7" s="4"/>
      <c r="M7" s="4"/>
      <c r="N7" s="4"/>
      <c r="O7" s="4"/>
      <c r="P7" s="4"/>
      <c r="Q7" s="76"/>
      <c r="R7" s="73"/>
      <c r="S7" s="7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81">
        <v>1.0</v>
      </c>
      <c r="AT7" s="81">
        <v>0.4</v>
      </c>
      <c r="AU7" s="4"/>
      <c r="AV7" s="4"/>
      <c r="AW7" s="4"/>
      <c r="AX7" s="4"/>
      <c r="AY7" s="4"/>
      <c r="AZ7" s="4"/>
      <c r="BA7" s="4"/>
    </row>
    <row r="8" ht="16.5" customHeight="1">
      <c r="A8" s="4"/>
      <c r="B8" s="4"/>
      <c r="C8" s="4"/>
      <c r="D8" s="4"/>
      <c r="E8" s="4"/>
      <c r="F8" s="1"/>
      <c r="G8" s="1"/>
      <c r="H8" s="1"/>
      <c r="J8" s="1"/>
      <c r="K8" s="1"/>
      <c r="L8" s="4"/>
      <c r="M8" s="84"/>
      <c r="N8" s="84"/>
      <c r="O8" s="4"/>
      <c r="P8" s="4"/>
      <c r="Q8" s="47" t="s">
        <v>41</v>
      </c>
      <c r="R8" s="85">
        <f>B4</f>
        <v>4</v>
      </c>
      <c r="S8" s="74" t="s">
        <v>42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81">
        <v>2.0</v>
      </c>
      <c r="AT8" s="81">
        <v>0.3</v>
      </c>
      <c r="AU8" s="4"/>
      <c r="AV8" s="4"/>
      <c r="AW8" s="4"/>
      <c r="AX8" s="4"/>
      <c r="AY8" s="4"/>
      <c r="AZ8" s="4"/>
      <c r="BA8" s="4"/>
    </row>
    <row r="9" ht="16.5" customHeight="1">
      <c r="A9" s="47" t="s">
        <v>60</v>
      </c>
      <c r="B9" s="7">
        <v>0.2</v>
      </c>
      <c r="C9" s="49" t="s">
        <v>42</v>
      </c>
      <c r="D9" s="4"/>
      <c r="E9" s="4"/>
      <c r="F9" s="1"/>
      <c r="G9" s="1"/>
      <c r="H9" s="1"/>
      <c r="J9" s="1"/>
      <c r="K9" s="4"/>
      <c r="L9" s="88" t="s">
        <v>61</v>
      </c>
      <c r="M9" s="91">
        <f>ATAN(I4/F11)</f>
        <v>1.515297822</v>
      </c>
      <c r="N9" s="8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81">
        <v>3.0</v>
      </c>
      <c r="AT9" s="81">
        <v>0.15</v>
      </c>
      <c r="AU9" s="4"/>
      <c r="AV9" s="4"/>
      <c r="AW9" s="4"/>
      <c r="AX9" s="4"/>
      <c r="AY9" s="4"/>
      <c r="AZ9" s="4"/>
      <c r="BA9" s="4"/>
    </row>
    <row r="10" ht="16.5" customHeight="1">
      <c r="A10" s="47"/>
      <c r="B10" s="4"/>
      <c r="C10" s="4"/>
      <c r="D10" s="4"/>
      <c r="E10" s="4"/>
      <c r="F10" s="1"/>
      <c r="G10" s="1"/>
      <c r="H10" s="1"/>
      <c r="J10" s="1"/>
      <c r="K10" s="4"/>
      <c r="L10" s="4"/>
      <c r="M10" s="91">
        <f>ATAN(48)</f>
        <v>1.549966007</v>
      </c>
      <c r="N10" s="93">
        <f>I4/M10</f>
        <v>2.322631583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ht="16.5" customHeight="1">
      <c r="A11" s="3" t="s">
        <v>64</v>
      </c>
      <c r="B11" s="94"/>
      <c r="C11" s="4"/>
      <c r="D11" s="4"/>
      <c r="E11" s="4"/>
      <c r="F11" s="1">
        <f>G17-H3</f>
        <v>0.2</v>
      </c>
      <c r="G11" s="1"/>
      <c r="H11" s="1"/>
      <c r="J11" s="1"/>
      <c r="K11" s="1"/>
      <c r="L11" s="4"/>
      <c r="M11" s="4"/>
      <c r="N11" s="4"/>
      <c r="O11" s="4"/>
      <c r="P11" s="4"/>
      <c r="Q11" s="4"/>
      <c r="R11" s="96" t="s">
        <v>68</v>
      </c>
      <c r="S11" s="10"/>
      <c r="T11" s="10"/>
      <c r="U11" s="10"/>
      <c r="V11" s="10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98" t="s">
        <v>69</v>
      </c>
      <c r="AT11" s="81">
        <f>0.3*T13</f>
        <v>0.045</v>
      </c>
      <c r="AU11" s="4"/>
      <c r="AV11" s="4"/>
      <c r="AW11" s="4"/>
      <c r="AX11" s="4"/>
      <c r="AY11" s="4"/>
      <c r="AZ11" s="4"/>
      <c r="BA11" s="4"/>
    </row>
    <row r="12" ht="16.5" customHeight="1">
      <c r="A12" s="47" t="s">
        <v>71</v>
      </c>
      <c r="B12" s="7">
        <v>10.0</v>
      </c>
      <c r="C12" s="4"/>
      <c r="D12" s="4"/>
      <c r="E12" s="4"/>
      <c r="F12" s="1"/>
      <c r="G12" s="1"/>
      <c r="H12" s="1"/>
      <c r="J12" s="1"/>
      <c r="K12" s="1"/>
      <c r="L12" s="4"/>
      <c r="M12" s="4"/>
      <c r="N12" s="4"/>
      <c r="O12" s="4"/>
      <c r="P12" s="4"/>
      <c r="Q12" s="4"/>
      <c r="R12" s="47" t="s">
        <v>72</v>
      </c>
      <c r="S12" s="29">
        <v>2.0</v>
      </c>
      <c r="T12" s="4">
        <f>VLOOKUP(S12,AS6:AT9,2,FALSE)</f>
        <v>0.3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70" t="s">
        <v>76</v>
      </c>
      <c r="AT12" s="81">
        <f>0.35*T13</f>
        <v>0.0525</v>
      </c>
      <c r="AU12" s="4"/>
      <c r="AV12" s="4"/>
      <c r="AW12" s="4"/>
      <c r="AX12" s="4"/>
      <c r="AY12" s="4"/>
      <c r="AZ12" s="4"/>
      <c r="BA12" s="4"/>
    </row>
    <row r="13" ht="16.5" customHeight="1">
      <c r="A13" s="3" t="s">
        <v>77</v>
      </c>
      <c r="B13" s="94"/>
      <c r="C13" s="4"/>
      <c r="D13" s="4"/>
      <c r="E13" s="4"/>
      <c r="F13" s="1"/>
      <c r="G13" s="8"/>
      <c r="H13" s="1"/>
      <c r="J13" s="1"/>
      <c r="K13" s="1"/>
      <c r="L13" s="4"/>
      <c r="M13" s="4"/>
      <c r="N13" s="4"/>
      <c r="O13" s="4"/>
      <c r="P13" s="4"/>
      <c r="Q13" s="4"/>
      <c r="R13" s="4"/>
      <c r="S13" s="47" t="s">
        <v>78</v>
      </c>
      <c r="T13" s="102">
        <f>T12/2</f>
        <v>0.15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98" t="s">
        <v>80</v>
      </c>
      <c r="AT13" s="81">
        <f>0.4*T13</f>
        <v>0.06</v>
      </c>
      <c r="AU13" s="4"/>
      <c r="AV13" s="4"/>
      <c r="AW13" s="4"/>
      <c r="AX13" s="4"/>
      <c r="AY13" s="4"/>
      <c r="AZ13" s="4"/>
      <c r="BA13" s="4"/>
    </row>
    <row r="14" ht="16.5" customHeight="1">
      <c r="A14" s="47" t="s">
        <v>71</v>
      </c>
      <c r="B14" s="7">
        <v>10.0</v>
      </c>
      <c r="C14" s="4"/>
      <c r="D14" s="4"/>
      <c r="E14" s="4"/>
      <c r="F14" s="1"/>
      <c r="H14" s="1"/>
      <c r="I14" s="1"/>
      <c r="J14" s="1"/>
      <c r="K14" s="1"/>
      <c r="L14" s="4"/>
      <c r="M14" s="4"/>
      <c r="N14" s="4"/>
      <c r="O14" s="4"/>
      <c r="P14" s="4"/>
      <c r="Q14" s="4"/>
      <c r="R14" s="3" t="s">
        <v>83</v>
      </c>
      <c r="U14" s="29" t="s">
        <v>69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70" t="s">
        <v>85</v>
      </c>
      <c r="AT14" s="81">
        <f>0.45*T13</f>
        <v>0.0675</v>
      </c>
      <c r="AU14" s="4"/>
      <c r="AV14" s="4"/>
      <c r="AW14" s="4"/>
      <c r="AX14" s="4"/>
      <c r="AY14" s="4"/>
      <c r="AZ14" s="4"/>
      <c r="BA14" s="4"/>
    </row>
    <row r="15" ht="16.5" customHeight="1">
      <c r="A15" s="3" t="s">
        <v>87</v>
      </c>
      <c r="B15" s="94"/>
      <c r="C15" s="4"/>
      <c r="D15" s="4"/>
      <c r="E15" s="4"/>
      <c r="F15" s="1"/>
      <c r="G15" s="1"/>
      <c r="H15" s="1"/>
      <c r="I15" s="1"/>
      <c r="J15" s="104">
        <f>B4/B14</f>
        <v>0.4</v>
      </c>
      <c r="K15" s="104"/>
      <c r="L15" s="4"/>
      <c r="M15" s="4"/>
      <c r="N15" s="4"/>
      <c r="O15" s="4"/>
      <c r="P15" s="4"/>
      <c r="Q15" s="4"/>
      <c r="R15" s="4"/>
      <c r="S15" s="47" t="s">
        <v>88</v>
      </c>
      <c r="T15" s="102">
        <f>VLOOKUP(U14,AS11:AT15,2,FALSE)</f>
        <v>0.045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98" t="s">
        <v>90</v>
      </c>
      <c r="AT15" s="81">
        <f>0.5*T13</f>
        <v>0.075</v>
      </c>
      <c r="AU15" s="4"/>
      <c r="AV15" s="4"/>
      <c r="AW15" s="4"/>
      <c r="AX15" s="4"/>
      <c r="AY15" s="4"/>
      <c r="AZ15" s="4"/>
      <c r="BA15" s="4"/>
    </row>
    <row r="16" ht="16.5" customHeight="1">
      <c r="A16" s="47" t="s">
        <v>71</v>
      </c>
      <c r="B16" s="7">
        <v>0.7</v>
      </c>
      <c r="C16" s="4"/>
      <c r="D16" s="4"/>
      <c r="E16" s="4"/>
      <c r="F16" s="1"/>
      <c r="G16" s="1"/>
      <c r="H16" s="1"/>
      <c r="I16" s="1"/>
      <c r="J16" s="1"/>
      <c r="K16" s="1"/>
      <c r="L16" s="4"/>
      <c r="M16" s="4"/>
      <c r="N16" s="4"/>
      <c r="O16" s="4"/>
      <c r="P16" s="4"/>
      <c r="Q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ht="16.5" customHeight="1">
      <c r="A17" s="4"/>
      <c r="B17" s="4"/>
      <c r="C17" s="4"/>
      <c r="D17" s="4"/>
      <c r="E17" s="4"/>
      <c r="F17" s="21">
        <f>G18/3</f>
        <v>0.9333333333</v>
      </c>
      <c r="G17" s="8">
        <f>B4/B12</f>
        <v>0.4</v>
      </c>
      <c r="I17" s="1"/>
      <c r="J17" s="1"/>
      <c r="K17" s="1"/>
      <c r="L17" s="4"/>
      <c r="M17" s="4"/>
      <c r="N17" s="4"/>
      <c r="O17" s="4"/>
      <c r="P17" s="4"/>
      <c r="Q17" s="4"/>
      <c r="S17" s="107" t="s">
        <v>31</v>
      </c>
      <c r="T17" s="108" t="s">
        <v>92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7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ht="16.5" customHeight="1">
      <c r="A18" s="4"/>
      <c r="B18" s="4"/>
      <c r="C18" s="4"/>
      <c r="D18" s="4"/>
      <c r="E18" s="4"/>
      <c r="F18" s="1"/>
      <c r="G18" s="8">
        <f>B16*B4</f>
        <v>2.8</v>
      </c>
      <c r="I18" s="1"/>
      <c r="J18" s="1"/>
      <c r="K18" s="1"/>
      <c r="L18" s="4"/>
      <c r="M18" s="4"/>
      <c r="N18" s="4"/>
      <c r="O18" s="4"/>
      <c r="P18" s="4"/>
      <c r="Q18" s="4"/>
      <c r="R18" s="110" t="s">
        <v>94</v>
      </c>
      <c r="S18" s="111">
        <f>DEGREES(T18)</f>
        <v>8.926407927</v>
      </c>
      <c r="T18" s="111">
        <f>ATAN(T13/(1-T15))</f>
        <v>0.1557952087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5">
        <f>COS(T19-T18-T20)</f>
        <v>0.9305863915</v>
      </c>
      <c r="AT18" s="5">
        <f>SIN(T21+T19)</f>
        <v>0.5060337641</v>
      </c>
      <c r="AU18" s="4"/>
      <c r="AV18" s="4"/>
      <c r="AW18" s="4"/>
      <c r="AX18" s="4"/>
      <c r="AY18" s="4"/>
      <c r="AZ18" s="4"/>
      <c r="BA18" s="4"/>
    </row>
    <row r="19" ht="16.5" customHeight="1">
      <c r="A19" s="4"/>
      <c r="B19" s="4"/>
      <c r="C19" s="4"/>
      <c r="D19" s="4"/>
      <c r="E19" s="4"/>
      <c r="F19" s="1"/>
      <c r="G19" s="1"/>
      <c r="H19" s="1"/>
      <c r="I19" s="1"/>
      <c r="J19" s="1"/>
      <c r="K19" s="1"/>
      <c r="L19" s="4"/>
      <c r="M19" s="4"/>
      <c r="N19" s="4"/>
      <c r="O19" s="4"/>
      <c r="P19" s="4"/>
      <c r="Q19" s="4"/>
      <c r="R19" s="113" t="s">
        <v>95</v>
      </c>
      <c r="S19" s="116">
        <f>B24</f>
        <v>30.4</v>
      </c>
      <c r="T19" s="111">
        <f t="shared" ref="T19:T21" si="1">RADIANS(S19)</f>
        <v>0.5305800926</v>
      </c>
      <c r="U19" s="112" t="s">
        <v>96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5">
        <f>COS(T18)*COS(T20)*COS(T20)*COS(T20+T21+T18)</f>
        <v>0.9759235975</v>
      </c>
      <c r="AT19" s="5">
        <f>SIN(T19-T18-T22)</f>
        <v>0.3660723535</v>
      </c>
      <c r="AU19" s="4"/>
      <c r="AV19" s="4"/>
      <c r="AW19" s="4"/>
      <c r="AX19" s="4"/>
      <c r="AY19" s="4"/>
      <c r="AZ19" s="4"/>
      <c r="BA19" s="4"/>
    </row>
    <row r="20" ht="16.5" customHeight="1">
      <c r="A20" s="4"/>
      <c r="B20" s="4"/>
      <c r="C20" s="4"/>
      <c r="D20" s="4"/>
      <c r="E20" s="4"/>
      <c r="F20" s="1"/>
      <c r="G20" s="1"/>
      <c r="H20" s="4"/>
      <c r="I20" s="4"/>
      <c r="J20" s="1"/>
      <c r="K20" s="1"/>
      <c r="L20" s="4"/>
      <c r="M20" s="4"/>
      <c r="N20" s="4"/>
      <c r="O20" s="4"/>
      <c r="P20" s="4"/>
      <c r="Q20" s="4"/>
      <c r="R20" s="113" t="s">
        <v>97</v>
      </c>
      <c r="S20" s="116">
        <v>0.0</v>
      </c>
      <c r="T20" s="111">
        <f t="shared" si="1"/>
        <v>0</v>
      </c>
      <c r="U20" s="112" t="s">
        <v>98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5"/>
      <c r="AT20" s="5">
        <f>COS(T21+T20+T18)</f>
        <v>0.987888454</v>
      </c>
      <c r="AU20" s="4"/>
      <c r="AV20" s="4"/>
      <c r="AW20" s="4"/>
      <c r="AX20" s="4"/>
      <c r="AY20" s="4"/>
      <c r="AZ20" s="4"/>
      <c r="BA20" s="4"/>
    </row>
    <row r="21" ht="16.5" customHeight="1">
      <c r="A21" s="45" t="s">
        <v>17</v>
      </c>
      <c r="B21" s="10"/>
      <c r="C21" s="10"/>
      <c r="D21" s="10"/>
      <c r="E21" s="10"/>
      <c r="F21" s="1"/>
      <c r="G21" s="1"/>
      <c r="H21" s="2" t="s">
        <v>0</v>
      </c>
      <c r="I21" s="3">
        <f>B27</f>
        <v>0.4</v>
      </c>
      <c r="J21" s="1"/>
      <c r="K21" s="1"/>
      <c r="L21" s="4"/>
      <c r="M21" s="4"/>
      <c r="N21" s="4"/>
      <c r="O21" s="4"/>
      <c r="P21" s="4"/>
      <c r="Q21" s="4"/>
      <c r="R21" s="113" t="s">
        <v>99</v>
      </c>
      <c r="S21" s="111">
        <v>0.0</v>
      </c>
      <c r="T21" s="111">
        <f t="shared" si="1"/>
        <v>0</v>
      </c>
      <c r="U21" s="112" t="s">
        <v>100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5"/>
      <c r="AT21" s="5">
        <f>COS(T22-T20)</f>
        <v>1</v>
      </c>
      <c r="AU21" s="4"/>
      <c r="AV21" s="4"/>
      <c r="AW21" s="4"/>
      <c r="AX21" s="4"/>
      <c r="AY21" s="4"/>
      <c r="AZ21" s="4"/>
      <c r="BA21" s="4"/>
    </row>
    <row r="22" ht="16.5" customHeight="1">
      <c r="A22" s="47" t="s">
        <v>101</v>
      </c>
      <c r="B22" s="55">
        <v>2.4</v>
      </c>
      <c r="C22" s="117" t="s">
        <v>23</v>
      </c>
      <c r="D22" s="4"/>
      <c r="E22" s="4"/>
      <c r="F22" s="1"/>
      <c r="G22" s="1"/>
      <c r="H22" s="1"/>
      <c r="I22" s="1"/>
      <c r="J22" s="1"/>
      <c r="K22" s="1"/>
      <c r="L22" s="4"/>
      <c r="M22" s="4"/>
      <c r="N22" s="4"/>
      <c r="O22" s="4"/>
      <c r="P22" s="4"/>
      <c r="Q22" s="4"/>
      <c r="R22" s="113" t="s">
        <v>102</v>
      </c>
      <c r="S22" s="116">
        <f>B26</f>
        <v>0</v>
      </c>
      <c r="T22" s="111">
        <v>0.0</v>
      </c>
      <c r="U22" s="112" t="s">
        <v>103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7"/>
      <c r="AS22" s="5"/>
      <c r="AT22" s="5">
        <f>POWER(AT18*AT19/(AT20*AT21),0.5)</f>
        <v>0.4330312698</v>
      </c>
      <c r="AU22" s="4"/>
      <c r="AV22" s="4"/>
      <c r="AW22" s="4"/>
      <c r="AX22" s="4"/>
      <c r="AY22" s="4"/>
      <c r="AZ22" s="4"/>
      <c r="BA22" s="4"/>
    </row>
    <row r="23" ht="16.5" customHeight="1">
      <c r="A23" s="47" t="s">
        <v>104</v>
      </c>
      <c r="B23" s="118">
        <v>2.03</v>
      </c>
      <c r="C23" s="117" t="s">
        <v>23</v>
      </c>
      <c r="D23" s="4"/>
      <c r="E23" s="4"/>
      <c r="F23" s="1"/>
      <c r="G23" s="1"/>
      <c r="H23" s="8">
        <f>H3</f>
        <v>0.2</v>
      </c>
      <c r="I23" s="1"/>
      <c r="J23" s="1"/>
      <c r="K23" s="1"/>
      <c r="L23" s="4"/>
      <c r="M23" s="4"/>
      <c r="N23" s="4"/>
      <c r="O23" s="4"/>
      <c r="P23" s="4"/>
      <c r="Q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ht="16.5" customHeight="1">
      <c r="A24" s="47" t="s">
        <v>105</v>
      </c>
      <c r="B24" s="119">
        <v>30.4</v>
      </c>
      <c r="C24" s="55" t="s">
        <v>31</v>
      </c>
      <c r="D24" s="120">
        <f>RADIANS(B24)</f>
        <v>0.5305800926</v>
      </c>
      <c r="E24" s="49" t="s">
        <v>32</v>
      </c>
      <c r="F24" s="1"/>
      <c r="G24" s="1"/>
      <c r="H24" s="1"/>
      <c r="I24" s="11">
        <f>I4</f>
        <v>3.6</v>
      </c>
      <c r="J24" s="1"/>
      <c r="K24" s="1"/>
      <c r="L24" s="4"/>
      <c r="M24" s="4"/>
      <c r="N24" s="4"/>
      <c r="O24" s="4"/>
      <c r="P24" s="4"/>
      <c r="Q24" s="4"/>
      <c r="R24" s="121" t="s">
        <v>106</v>
      </c>
      <c r="S24" s="92">
        <f>POWER(1+AT22,2)</f>
        <v>2.05357862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ht="16.5" customHeight="1">
      <c r="A25" s="47" t="s">
        <v>107</v>
      </c>
      <c r="B25" s="122">
        <v>0.0</v>
      </c>
      <c r="C25" s="55"/>
      <c r="D25" s="95"/>
      <c r="E25" s="49"/>
      <c r="F25" s="1"/>
      <c r="G25" s="1"/>
      <c r="H25" s="1"/>
      <c r="J25" s="1"/>
      <c r="K25" s="1"/>
      <c r="L25" s="4"/>
      <c r="M25" s="4"/>
      <c r="N25" s="4"/>
      <c r="O25" s="4"/>
      <c r="P25" s="4"/>
      <c r="Q25" s="4"/>
      <c r="S25" s="123" t="s">
        <v>108</v>
      </c>
      <c r="T25" s="92">
        <f>AS18*AS18/(S24*AS19)</f>
        <v>0.4321019648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ht="16.5" customHeight="1">
      <c r="A26" s="47" t="s">
        <v>109</v>
      </c>
      <c r="B26" s="124">
        <v>0.0</v>
      </c>
      <c r="C26" s="55" t="s">
        <v>31</v>
      </c>
      <c r="D26" s="120">
        <f>RADIANS(B26)</f>
        <v>0</v>
      </c>
      <c r="E26" s="49" t="s">
        <v>32</v>
      </c>
      <c r="F26" s="1"/>
      <c r="G26" s="1"/>
      <c r="H26" s="1"/>
      <c r="J26" s="1"/>
      <c r="K26" s="1"/>
      <c r="L26" s="4"/>
      <c r="M26" s="4"/>
      <c r="N26" s="4"/>
      <c r="O26" s="4"/>
      <c r="P26" s="4"/>
      <c r="Q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ht="16.5" customHeight="1">
      <c r="A27" s="47" t="s">
        <v>0</v>
      </c>
      <c r="B27" s="124">
        <v>0.4</v>
      </c>
      <c r="C27" s="117" t="s">
        <v>48</v>
      </c>
      <c r="D27" s="4"/>
      <c r="E27" s="4"/>
      <c r="F27" s="1"/>
      <c r="G27" s="1"/>
      <c r="H27" s="1"/>
      <c r="J27" s="1"/>
      <c r="K27" s="1"/>
      <c r="L27" s="4"/>
      <c r="M27" s="4"/>
      <c r="N27" s="4"/>
      <c r="O27" s="4"/>
      <c r="P27" s="4"/>
      <c r="Q27" s="4"/>
      <c r="R27" s="47" t="s">
        <v>110</v>
      </c>
      <c r="S27" s="125">
        <f>B23</f>
        <v>2.03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126" t="s">
        <v>26</v>
      </c>
      <c r="AT27" s="103">
        <f>COS(D24)</f>
        <v>0.8625136692</v>
      </c>
      <c r="AU27" s="4"/>
      <c r="AV27" s="4"/>
      <c r="AW27" s="4"/>
      <c r="AX27" s="4"/>
      <c r="AY27" s="4"/>
      <c r="AZ27" s="4"/>
      <c r="BA27" s="4"/>
    </row>
    <row r="28" ht="16.5" customHeight="1">
      <c r="A28" s="47" t="s">
        <v>63</v>
      </c>
      <c r="B28" s="92">
        <f>B27/B23</f>
        <v>0.197044335</v>
      </c>
      <c r="C28" s="4" t="s">
        <v>42</v>
      </c>
      <c r="D28" s="4"/>
      <c r="E28" s="4"/>
      <c r="F28" s="1"/>
      <c r="G28" s="1"/>
      <c r="H28" s="1"/>
      <c r="J28" s="1"/>
      <c r="K28" s="1"/>
      <c r="L28" s="4"/>
      <c r="M28" s="4"/>
      <c r="N28" s="4"/>
      <c r="O28" s="4"/>
      <c r="P28" s="4"/>
      <c r="Q28" s="4"/>
      <c r="R28" s="127" t="s">
        <v>41</v>
      </c>
      <c r="S28" s="125">
        <f>L48</f>
        <v>4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23" t="s">
        <v>111</v>
      </c>
      <c r="AT28" s="103">
        <f>COS(D26)</f>
        <v>1</v>
      </c>
      <c r="AU28" s="4"/>
      <c r="AV28" s="4"/>
      <c r="AW28" s="4"/>
      <c r="AX28" s="4"/>
      <c r="AY28" s="4"/>
      <c r="AZ28" s="4"/>
      <c r="BA28" s="4"/>
    </row>
    <row r="29" ht="16.5" customHeight="1">
      <c r="A29" s="47" t="s">
        <v>75</v>
      </c>
      <c r="B29" s="92">
        <f>AT33</f>
        <v>0.3279914751</v>
      </c>
      <c r="C29" s="4"/>
      <c r="D29" s="4"/>
      <c r="E29" s="4"/>
      <c r="F29" s="1"/>
      <c r="G29" s="1"/>
      <c r="H29" s="1"/>
      <c r="J29" s="1"/>
      <c r="K29" s="1"/>
      <c r="L29" s="4"/>
      <c r="M29" s="4"/>
      <c r="N29" s="4"/>
      <c r="O29" s="4"/>
      <c r="P29" s="4"/>
      <c r="Q29" s="4"/>
      <c r="R29" s="127" t="s">
        <v>88</v>
      </c>
      <c r="S29" s="4">
        <f>T15</f>
        <v>0.045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23" t="s">
        <v>112</v>
      </c>
      <c r="AT29" s="103">
        <f>POWER(COS(D24),2)</f>
        <v>0.7439298296</v>
      </c>
      <c r="AU29" s="103"/>
      <c r="AV29" s="4"/>
      <c r="AW29" s="4"/>
      <c r="AX29" s="4"/>
      <c r="AY29" s="4"/>
      <c r="AZ29" s="4"/>
      <c r="BA29" s="4"/>
    </row>
    <row r="30" ht="16.5" customHeight="1">
      <c r="A30" s="47" t="s">
        <v>84</v>
      </c>
      <c r="B30" s="92">
        <f>AU33</f>
        <v>3.048859729</v>
      </c>
      <c r="C30" s="4"/>
      <c r="D30" s="4"/>
      <c r="E30" s="4"/>
      <c r="F30" s="1"/>
      <c r="G30" s="1"/>
      <c r="H30" s="1"/>
      <c r="J30" s="1"/>
      <c r="K30" s="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23" t="s">
        <v>113</v>
      </c>
      <c r="AT30" s="103">
        <f>POWER(COS(D26),2)</f>
        <v>1</v>
      </c>
      <c r="AU30" s="103"/>
      <c r="AV30" s="4"/>
      <c r="AW30" s="4"/>
      <c r="AX30" s="4"/>
      <c r="AY30" s="4"/>
      <c r="AZ30" s="4"/>
      <c r="BA30" s="4"/>
    </row>
    <row r="31" ht="16.5" customHeight="1">
      <c r="A31" s="47" t="s">
        <v>114</v>
      </c>
      <c r="B31" s="92">
        <f>1-SIN(D24)</f>
        <v>0.4939662359</v>
      </c>
      <c r="C31" s="49"/>
      <c r="D31" s="4"/>
      <c r="E31" s="4"/>
      <c r="F31" s="1">
        <f>F11</f>
        <v>0.2</v>
      </c>
      <c r="G31" s="1"/>
      <c r="H31" s="1"/>
      <c r="J31" s="1"/>
      <c r="K31" s="1"/>
      <c r="L31" s="4"/>
      <c r="M31" s="4"/>
      <c r="N31" s="4"/>
      <c r="O31" s="4"/>
      <c r="P31" s="4"/>
      <c r="Q31" s="4"/>
      <c r="R31" s="128"/>
      <c r="S31" s="123" t="s">
        <v>115</v>
      </c>
      <c r="T31" s="92">
        <f>0.5*S27*(1-S29)*T25*S28*S28</f>
        <v>6.701555793</v>
      </c>
      <c r="U31" s="129" t="s">
        <v>116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23">
        <v>1.0</v>
      </c>
      <c r="AT31" s="103">
        <f>AT28-POWER(AT30-AT29,0.5)</f>
        <v>0.4939662359</v>
      </c>
      <c r="AU31" s="103">
        <f>AT28+POWER(AT30-AT29,0.5)</f>
        <v>1.506033764</v>
      </c>
      <c r="AV31" s="4"/>
      <c r="AW31" s="4"/>
      <c r="AX31" s="4"/>
      <c r="AY31" s="4"/>
      <c r="AZ31" s="4"/>
      <c r="BA31" s="4"/>
    </row>
    <row r="32" ht="16.5" customHeight="1">
      <c r="A32" s="112"/>
      <c r="B32" s="70" t="s">
        <v>96</v>
      </c>
      <c r="C32" s="70" t="s">
        <v>117</v>
      </c>
      <c r="D32" s="70" t="s">
        <v>118</v>
      </c>
      <c r="E32" s="4"/>
      <c r="F32" s="1"/>
      <c r="G32" s="1"/>
      <c r="H32" s="1"/>
      <c r="J32" s="1"/>
      <c r="K32" s="1"/>
      <c r="L32" s="4"/>
      <c r="M32" s="4"/>
      <c r="N32" s="4"/>
      <c r="O32" s="4"/>
      <c r="P32" s="4"/>
      <c r="Q32" s="4"/>
      <c r="R32" s="128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23">
        <v>2.0</v>
      </c>
      <c r="AT32" s="103">
        <f>AT28+POWER(AT30-AT29,0.5)</f>
        <v>1.506033764</v>
      </c>
      <c r="AU32" s="103">
        <f>AT28-POWER(AT30-AT29,0.5)</f>
        <v>0.4939662359</v>
      </c>
      <c r="AV32" s="4"/>
      <c r="AW32" s="4"/>
      <c r="AX32" s="4"/>
      <c r="AY32" s="4"/>
      <c r="AZ32" s="4"/>
      <c r="BA32" s="4"/>
    </row>
    <row r="33" ht="16.5" customHeight="1">
      <c r="A33" s="70" t="s">
        <v>41</v>
      </c>
      <c r="B33" s="115">
        <f>VLOOKUP(B39,AS37:AT38,2,FALSE)</f>
        <v>4</v>
      </c>
      <c r="C33" s="115">
        <f>B28</f>
        <v>0.197044335</v>
      </c>
      <c r="D33" s="114"/>
      <c r="E33" s="4"/>
      <c r="F33" s="1"/>
      <c r="G33" s="8"/>
      <c r="H33" s="1"/>
      <c r="J33" s="1"/>
      <c r="K33" s="1"/>
      <c r="L33" s="4"/>
      <c r="M33" s="4"/>
      <c r="N33" s="4"/>
      <c r="O33" s="4"/>
      <c r="P33" s="4"/>
      <c r="Q33" s="4"/>
      <c r="R33" s="130" t="s">
        <v>119</v>
      </c>
      <c r="S33" s="131">
        <f>B29</f>
        <v>0.3279914751</v>
      </c>
      <c r="T33" s="4"/>
      <c r="U33" s="129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23" t="s">
        <v>120</v>
      </c>
      <c r="AT33" s="103">
        <f>AT28*AT31/AT32</f>
        <v>0.3279914751</v>
      </c>
      <c r="AU33" s="103">
        <f>AT28*AU31/AU32</f>
        <v>3.048859729</v>
      </c>
      <c r="AV33" s="4"/>
      <c r="AW33" s="4"/>
      <c r="AX33" s="4"/>
      <c r="AY33" s="4"/>
      <c r="AZ33" s="4"/>
      <c r="BA33" s="4"/>
    </row>
    <row r="34" ht="16.5" customHeight="1">
      <c r="A34" s="70" t="s">
        <v>121</v>
      </c>
      <c r="B34" s="115">
        <f>B23*B29*(B33)</f>
        <v>2.663290778</v>
      </c>
      <c r="C34" s="115">
        <f>B23*B29*(C33)</f>
        <v>0.13119659</v>
      </c>
      <c r="D34" s="115">
        <f t="shared" ref="D34:D37" si="2">B34+C34</f>
        <v>2.794487368</v>
      </c>
      <c r="E34" s="4"/>
      <c r="F34" s="1"/>
      <c r="H34" s="1"/>
      <c r="I34" s="1"/>
      <c r="J34" s="1"/>
      <c r="K34" s="1"/>
      <c r="L34" s="4"/>
      <c r="M34" s="4"/>
      <c r="N34" s="4"/>
      <c r="O34" s="4"/>
      <c r="P34" s="4"/>
      <c r="Q34" s="4"/>
      <c r="R34" s="127"/>
      <c r="S34" s="132"/>
      <c r="T34" s="4"/>
      <c r="U34" s="129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ht="16.5" customHeight="1">
      <c r="A35" s="70" t="s">
        <v>122</v>
      </c>
      <c r="B35" s="115">
        <f>B34*B33/2</f>
        <v>5.326581556</v>
      </c>
      <c r="C35" s="115">
        <f>C34*B33</f>
        <v>0.5247863602</v>
      </c>
      <c r="D35" s="115">
        <f t="shared" si="2"/>
        <v>5.851367916</v>
      </c>
      <c r="E35" s="4"/>
      <c r="F35" s="1"/>
      <c r="G35" s="1"/>
      <c r="H35" s="1"/>
      <c r="I35" s="1"/>
      <c r="J35" s="19">
        <f>J15</f>
        <v>0.4</v>
      </c>
      <c r="K35" s="19"/>
      <c r="L35" s="4"/>
      <c r="M35" s="4"/>
      <c r="N35" s="4"/>
      <c r="O35" s="4"/>
      <c r="P35" s="4"/>
      <c r="Q35" s="4"/>
      <c r="S35" s="123" t="s">
        <v>123</v>
      </c>
      <c r="T35" s="92">
        <f>0.5*S27*S33*S28*S28</f>
        <v>5.326581556</v>
      </c>
      <c r="U35" s="129" t="s">
        <v>116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ht="16.5" customHeight="1">
      <c r="A36" s="70" t="s">
        <v>124</v>
      </c>
      <c r="B36" s="115">
        <f>B35*SIN(D26)</f>
        <v>0</v>
      </c>
      <c r="C36" s="115">
        <f>C35*SIN(D26)</f>
        <v>0</v>
      </c>
      <c r="D36" s="115">
        <f t="shared" si="2"/>
        <v>0</v>
      </c>
      <c r="E36" s="4"/>
      <c r="F36" s="1"/>
      <c r="G36" s="1"/>
      <c r="H36" s="1"/>
      <c r="I36" s="1"/>
      <c r="J36" s="1"/>
      <c r="K36" s="1"/>
      <c r="L36" s="4"/>
      <c r="M36" s="4"/>
      <c r="N36" s="4"/>
      <c r="O36" s="4"/>
      <c r="P36" s="4"/>
      <c r="Q36" s="4"/>
      <c r="S36" s="4"/>
      <c r="T36" s="4"/>
      <c r="U36" s="129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92">
        <f>B4+J70</f>
        <v>4</v>
      </c>
      <c r="AT36" s="92">
        <f>B4</f>
        <v>4</v>
      </c>
      <c r="AU36" s="4"/>
      <c r="AV36" s="4"/>
      <c r="AW36" s="4"/>
      <c r="AX36" s="4"/>
      <c r="AY36" s="4"/>
      <c r="AZ36" s="4"/>
      <c r="BA36" s="4"/>
    </row>
    <row r="37" ht="16.5" customHeight="1">
      <c r="A37" s="70" t="s">
        <v>125</v>
      </c>
      <c r="B37" s="115">
        <f>B35*COS(D26)</f>
        <v>5.326581556</v>
      </c>
      <c r="C37" s="115">
        <f>C35*COS(D26)</f>
        <v>0.5247863602</v>
      </c>
      <c r="D37" s="115">
        <f t="shared" si="2"/>
        <v>5.851367916</v>
      </c>
      <c r="E37" s="4"/>
      <c r="F37" s="21">
        <f t="shared" ref="F37:G37" si="3">F17</f>
        <v>0.9333333333</v>
      </c>
      <c r="G37" s="8">
        <f t="shared" si="3"/>
        <v>0.4</v>
      </c>
      <c r="I37" s="19">
        <f>G38-F37-G37</f>
        <v>1.466666667</v>
      </c>
      <c r="J37" s="1"/>
      <c r="K37" s="1"/>
      <c r="L37" s="4"/>
      <c r="M37" s="4"/>
      <c r="N37" s="4"/>
      <c r="O37" s="4"/>
      <c r="P37" s="4"/>
      <c r="Q37" s="4"/>
      <c r="S37" s="47" t="s">
        <v>126</v>
      </c>
      <c r="T37" s="133">
        <f>T31-T35</f>
        <v>1.374974237</v>
      </c>
      <c r="U37" s="129" t="s">
        <v>116</v>
      </c>
      <c r="V37" s="4" t="s">
        <v>127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23" t="s">
        <v>12</v>
      </c>
      <c r="AT37" s="134">
        <f>AS36</f>
        <v>4</v>
      </c>
      <c r="AU37" s="4"/>
      <c r="AV37" s="4"/>
      <c r="AW37" s="4"/>
      <c r="AX37" s="4"/>
      <c r="AY37" s="4"/>
      <c r="AZ37" s="4"/>
      <c r="BA37" s="4"/>
    </row>
    <row r="38" ht="16.5" customHeight="1">
      <c r="A38" s="4"/>
      <c r="B38" s="4"/>
      <c r="C38" s="4"/>
      <c r="D38" s="4"/>
      <c r="E38" s="4"/>
      <c r="F38" s="4"/>
      <c r="G38" s="8">
        <f>G18</f>
        <v>2.8</v>
      </c>
      <c r="I38" s="1"/>
      <c r="J38" s="1"/>
      <c r="K38" s="1"/>
      <c r="L38" s="4"/>
      <c r="M38" s="4"/>
      <c r="N38" s="4"/>
      <c r="O38" s="4"/>
      <c r="P38" s="4"/>
      <c r="Q38" s="4"/>
      <c r="S38" s="47" t="s">
        <v>128</v>
      </c>
      <c r="T38" s="4"/>
      <c r="U38" s="129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23" t="s">
        <v>15</v>
      </c>
      <c r="AT38" s="134">
        <f>AT36</f>
        <v>4</v>
      </c>
      <c r="AU38" s="4"/>
      <c r="AV38" s="4"/>
      <c r="AW38" s="4"/>
      <c r="AX38" s="4"/>
      <c r="AY38" s="4"/>
      <c r="AZ38" s="4"/>
      <c r="BA38" s="4"/>
    </row>
    <row r="39" ht="16.5" customHeight="1">
      <c r="A39" s="4" t="s">
        <v>129</v>
      </c>
      <c r="B39" s="29" t="s">
        <v>15</v>
      </c>
      <c r="C39" s="4"/>
      <c r="D39" s="4"/>
      <c r="E39" s="4"/>
      <c r="F39" s="1"/>
      <c r="G39" s="1"/>
      <c r="H39" s="1"/>
      <c r="I39" s="1"/>
      <c r="J39" s="1"/>
      <c r="K39" s="1"/>
      <c r="L39" s="4"/>
      <c r="M39" s="4"/>
      <c r="N39" s="4"/>
      <c r="O39" s="4"/>
      <c r="P39" s="4"/>
      <c r="Q39" s="4"/>
      <c r="S39" s="47" t="s">
        <v>130</v>
      </c>
      <c r="T39" s="4">
        <f>S28*0.6</f>
        <v>2.4</v>
      </c>
      <c r="U39" s="129" t="s">
        <v>42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ht="16.5" customHeight="1">
      <c r="A40" s="4"/>
      <c r="B40" s="4"/>
      <c r="C40" s="4"/>
      <c r="D40" s="4"/>
      <c r="E40" s="4"/>
      <c r="F40" s="4"/>
      <c r="G40" s="4"/>
      <c r="H40" s="1"/>
      <c r="I40" s="1"/>
      <c r="J40" s="1"/>
      <c r="K40" s="1"/>
      <c r="L40" s="1"/>
      <c r="M40" s="1"/>
      <c r="N40" s="4"/>
      <c r="O40" s="4"/>
      <c r="P40" s="4"/>
      <c r="Q40" s="4"/>
      <c r="S40" s="47" t="s">
        <v>131</v>
      </c>
      <c r="T40" s="133">
        <f>T37*T39</f>
        <v>3.299938169</v>
      </c>
      <c r="U40" s="129" t="s">
        <v>132</v>
      </c>
      <c r="V40" s="4" t="s">
        <v>133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</row>
    <row r="41" ht="16.5" customHeight="1">
      <c r="A41" s="31" t="s">
        <v>134</v>
      </c>
      <c r="B41" s="32"/>
      <c r="C41" s="32"/>
      <c r="D41" s="32"/>
      <c r="E41" s="32"/>
      <c r="F41" s="32"/>
      <c r="G41" s="33"/>
      <c r="H41" s="34" t="s">
        <v>135</v>
      </c>
      <c r="I41" s="10"/>
      <c r="J41" s="10"/>
      <c r="K41" s="10"/>
      <c r="L41" s="10"/>
      <c r="M41" s="10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ht="16.5" customHeight="1">
      <c r="A42" s="36" t="s">
        <v>136</v>
      </c>
      <c r="G42" s="4"/>
      <c r="H42" s="1"/>
      <c r="I42" s="1"/>
      <c r="J42" s="1"/>
      <c r="K42" s="1"/>
      <c r="L42" s="1"/>
      <c r="M42" s="1"/>
      <c r="N42" s="4"/>
      <c r="O42" s="4"/>
      <c r="P42" s="4"/>
      <c r="Q42" s="4"/>
      <c r="R42" s="36" t="s">
        <v>137</v>
      </c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</row>
    <row r="43" ht="16.5" customHeight="1">
      <c r="A43" s="39" t="s">
        <v>138</v>
      </c>
      <c r="B43" s="39" t="s">
        <v>139</v>
      </c>
      <c r="C43" s="39" t="s">
        <v>140</v>
      </c>
      <c r="D43" s="39" t="s">
        <v>141</v>
      </c>
      <c r="E43" s="40" t="s">
        <v>142</v>
      </c>
      <c r="F43" s="41" t="s">
        <v>143</v>
      </c>
      <c r="G43" s="4"/>
      <c r="H43" s="1"/>
      <c r="I43" s="1"/>
      <c r="J43" s="135">
        <v>0.2</v>
      </c>
      <c r="K43" s="1"/>
      <c r="L43" s="19">
        <f>K58*TAN(D26)</f>
        <v>0</v>
      </c>
      <c r="M43" s="1"/>
      <c r="N43" s="4"/>
      <c r="O43" s="4"/>
      <c r="P43" s="4"/>
      <c r="Q43" s="4"/>
      <c r="R43" s="39" t="s">
        <v>138</v>
      </c>
      <c r="S43" s="39" t="s">
        <v>144</v>
      </c>
      <c r="T43" s="39" t="s">
        <v>140</v>
      </c>
      <c r="U43" s="39" t="s">
        <v>141</v>
      </c>
      <c r="V43" s="40" t="s">
        <v>142</v>
      </c>
      <c r="W43" s="41" t="s">
        <v>143</v>
      </c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ht="16.5" customHeight="1">
      <c r="A44" s="39">
        <v>1.0</v>
      </c>
      <c r="B44" s="42">
        <f>K58*K58*0.5*TAN(D26)</f>
        <v>0</v>
      </c>
      <c r="C44" s="42">
        <f t="shared" ref="C44:C46" si="5">B44*$B$23</f>
        <v>0</v>
      </c>
      <c r="D44" s="42">
        <f>2*K58/3+H58+I57</f>
        <v>4.566666667</v>
      </c>
      <c r="E44" s="42">
        <f t="shared" ref="E44:E49" si="6">C44*D44</f>
        <v>0</v>
      </c>
      <c r="F44" s="43" t="s">
        <v>145</v>
      </c>
      <c r="G44" s="4"/>
      <c r="H44" s="1"/>
      <c r="I44" s="1"/>
      <c r="J44" s="1"/>
      <c r="K44" s="1"/>
      <c r="L44" s="1"/>
      <c r="M44" s="1"/>
      <c r="N44" s="4"/>
      <c r="O44" s="4"/>
      <c r="P44" s="4"/>
      <c r="Q44" s="4"/>
      <c r="R44" s="39">
        <v>1.0</v>
      </c>
      <c r="S44" s="42">
        <f t="shared" ref="S44:V44" si="4">B44</f>
        <v>0</v>
      </c>
      <c r="T44" s="42">
        <f t="shared" si="4"/>
        <v>0</v>
      </c>
      <c r="U44" s="42">
        <f t="shared" si="4"/>
        <v>4.566666667</v>
      </c>
      <c r="V44" s="42">
        <f t="shared" si="4"/>
        <v>0</v>
      </c>
      <c r="W44" s="43" t="s">
        <v>145</v>
      </c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</row>
    <row r="45" ht="16.5" customHeight="1">
      <c r="A45" s="39">
        <v>2.0</v>
      </c>
      <c r="B45" s="42">
        <f>K58*L48</f>
        <v>4</v>
      </c>
      <c r="C45" s="42">
        <f t="shared" si="5"/>
        <v>8.12</v>
      </c>
      <c r="D45" s="42">
        <f>K58/2+I57+H58</f>
        <v>4.4</v>
      </c>
      <c r="E45" s="42">
        <f t="shared" si="6"/>
        <v>35.728</v>
      </c>
      <c r="F45" s="43" t="s">
        <v>96</v>
      </c>
      <c r="G45" s="4"/>
      <c r="H45" s="1"/>
      <c r="I45" s="1"/>
      <c r="J45" s="1"/>
      <c r="K45" s="1"/>
      <c r="L45" s="1"/>
      <c r="M45" s="1"/>
      <c r="N45" s="4"/>
      <c r="O45" s="4"/>
      <c r="P45" s="4"/>
      <c r="Q45" s="4"/>
      <c r="R45" s="39">
        <v>2.0</v>
      </c>
      <c r="S45" s="42">
        <f t="shared" ref="S45:V45" si="7">B45</f>
        <v>4</v>
      </c>
      <c r="T45" s="42">
        <f t="shared" si="7"/>
        <v>8.12</v>
      </c>
      <c r="U45" s="42">
        <f t="shared" si="7"/>
        <v>4.4</v>
      </c>
      <c r="V45" s="42">
        <f t="shared" si="7"/>
        <v>35.728</v>
      </c>
      <c r="W45" s="43" t="s">
        <v>96</v>
      </c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ht="16.5" customHeight="1">
      <c r="A46" s="39">
        <v>3.0</v>
      </c>
      <c r="B46" s="42">
        <f>B28*K58/COS(D26)</f>
        <v>0.197044335</v>
      </c>
      <c r="C46" s="42">
        <f t="shared" si="5"/>
        <v>0.4</v>
      </c>
      <c r="D46" s="42">
        <f>D45</f>
        <v>4.4</v>
      </c>
      <c r="E46" s="42">
        <f t="shared" si="6"/>
        <v>1.76</v>
      </c>
      <c r="F46" s="43" t="s">
        <v>146</v>
      </c>
      <c r="G46" s="4"/>
      <c r="H46" s="1"/>
      <c r="I46" s="1"/>
      <c r="J46" s="1"/>
      <c r="K46" s="1"/>
      <c r="L46" s="1"/>
      <c r="M46" s="1"/>
      <c r="N46" s="4"/>
      <c r="O46" s="4"/>
      <c r="P46" s="4"/>
      <c r="Q46" s="4"/>
      <c r="R46" s="39">
        <v>3.0</v>
      </c>
      <c r="S46" s="42">
        <f t="shared" ref="S46:V46" si="8">B46</f>
        <v>0.197044335</v>
      </c>
      <c r="T46" s="42">
        <f t="shared" si="8"/>
        <v>0.4</v>
      </c>
      <c r="U46" s="42">
        <f t="shared" si="8"/>
        <v>4.4</v>
      </c>
      <c r="V46" s="42">
        <f t="shared" si="8"/>
        <v>1.76</v>
      </c>
      <c r="W46" s="43" t="s">
        <v>146</v>
      </c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</row>
    <row r="47" ht="16.5" customHeight="1">
      <c r="A47" s="39">
        <v>4.0</v>
      </c>
      <c r="B47" s="42">
        <f>I59*M55</f>
        <v>3.43</v>
      </c>
      <c r="C47" s="42">
        <f t="shared" ref="C47:C49" si="10">B47*$B$22</f>
        <v>8.232</v>
      </c>
      <c r="D47" s="42">
        <f>I59/2</f>
        <v>2.45</v>
      </c>
      <c r="E47" s="42">
        <f t="shared" si="6"/>
        <v>20.1684</v>
      </c>
      <c r="F47" s="43" t="s">
        <v>147</v>
      </c>
      <c r="G47" s="4"/>
      <c r="H47" s="1"/>
      <c r="I47" s="1"/>
      <c r="J47" s="1"/>
      <c r="K47" s="1"/>
      <c r="L47" s="1"/>
      <c r="M47" s="1"/>
      <c r="N47" s="4"/>
      <c r="O47" s="4"/>
      <c r="P47" s="4"/>
      <c r="Q47" s="4"/>
      <c r="R47" s="39">
        <v>4.0</v>
      </c>
      <c r="S47" s="42">
        <f t="shared" ref="S47:V47" si="9">B47</f>
        <v>3.43</v>
      </c>
      <c r="T47" s="42">
        <f t="shared" si="9"/>
        <v>8.232</v>
      </c>
      <c r="U47" s="42">
        <f t="shared" si="9"/>
        <v>2.45</v>
      </c>
      <c r="V47" s="42">
        <f t="shared" si="9"/>
        <v>20.1684</v>
      </c>
      <c r="W47" s="43" t="s">
        <v>147</v>
      </c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ht="16.5" customHeight="1">
      <c r="A48" s="39">
        <v>5.0</v>
      </c>
      <c r="B48" s="42">
        <f>H52*L48*0.5</f>
        <v>0.4</v>
      </c>
      <c r="C48" s="42">
        <f t="shared" si="10"/>
        <v>0.96</v>
      </c>
      <c r="D48" s="42">
        <f>2*H52/3+H58</f>
        <v>3.633333333</v>
      </c>
      <c r="E48" s="42">
        <f t="shared" si="6"/>
        <v>3.488</v>
      </c>
      <c r="F48" s="43" t="s">
        <v>148</v>
      </c>
      <c r="G48" s="4"/>
      <c r="H48" s="1"/>
      <c r="I48" s="1"/>
      <c r="J48" s="1"/>
      <c r="K48" s="1"/>
      <c r="L48" s="136">
        <v>4.0</v>
      </c>
      <c r="M48" s="1"/>
      <c r="N48" s="4"/>
      <c r="O48" s="4"/>
      <c r="P48" s="4"/>
      <c r="Q48" s="4"/>
      <c r="R48" s="39">
        <v>5.0</v>
      </c>
      <c r="S48" s="42">
        <f t="shared" ref="S48:V48" si="11">B48</f>
        <v>0.4</v>
      </c>
      <c r="T48" s="42">
        <f t="shared" si="11"/>
        <v>0.96</v>
      </c>
      <c r="U48" s="42">
        <f t="shared" si="11"/>
        <v>3.633333333</v>
      </c>
      <c r="V48" s="42">
        <f t="shared" si="11"/>
        <v>3.488</v>
      </c>
      <c r="W48" s="43" t="s">
        <v>148</v>
      </c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</row>
    <row r="49" ht="16.5" customHeight="1">
      <c r="A49" s="39">
        <v>6.0</v>
      </c>
      <c r="B49" s="42">
        <f>J43*L48</f>
        <v>0.8</v>
      </c>
      <c r="C49" s="42">
        <f t="shared" si="10"/>
        <v>1.92</v>
      </c>
      <c r="D49" s="42">
        <f>J43/2+H52+H58</f>
        <v>3.8</v>
      </c>
      <c r="E49" s="42">
        <f t="shared" si="6"/>
        <v>7.296</v>
      </c>
      <c r="F49" s="43" t="s">
        <v>16</v>
      </c>
      <c r="G49" s="4"/>
      <c r="H49" s="1"/>
      <c r="I49" s="1"/>
      <c r="J49" s="1"/>
      <c r="K49" s="21">
        <f>I24</f>
        <v>3.6</v>
      </c>
      <c r="L49" s="1"/>
      <c r="M49" s="1"/>
      <c r="N49" s="4"/>
      <c r="O49" s="4"/>
      <c r="P49" s="4"/>
      <c r="Q49" s="4"/>
      <c r="R49" s="39">
        <v>6.0</v>
      </c>
      <c r="S49" s="42">
        <f t="shared" ref="S49:V49" si="12">B49</f>
        <v>0.8</v>
      </c>
      <c r="T49" s="42">
        <f t="shared" si="12"/>
        <v>1.92</v>
      </c>
      <c r="U49" s="42">
        <f t="shared" si="12"/>
        <v>3.8</v>
      </c>
      <c r="V49" s="42">
        <f t="shared" si="12"/>
        <v>7.296</v>
      </c>
      <c r="W49" s="43" t="s">
        <v>16</v>
      </c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ht="16.5" customHeight="1">
      <c r="A50" s="4"/>
      <c r="B50" s="137" t="s">
        <v>149</v>
      </c>
      <c r="C50" s="138">
        <f>SUM(C44:C49)</f>
        <v>19.632</v>
      </c>
      <c r="D50" s="139" t="s">
        <v>150</v>
      </c>
      <c r="E50" s="138">
        <f>SUM(E44:E49)</f>
        <v>68.4404</v>
      </c>
      <c r="F50" s="4"/>
      <c r="G50" s="4"/>
      <c r="H50" s="1"/>
      <c r="I50" s="1"/>
      <c r="J50" s="1"/>
      <c r="K50" s="1"/>
      <c r="L50" s="1"/>
      <c r="M50" s="1"/>
      <c r="N50" s="4"/>
      <c r="O50" s="92"/>
      <c r="P50" s="140"/>
      <c r="Q50" s="4"/>
      <c r="R50" s="4"/>
      <c r="S50" s="137" t="s">
        <v>149</v>
      </c>
      <c r="T50" s="138">
        <f>SUM(T44:T49)</f>
        <v>19.632</v>
      </c>
      <c r="U50" s="139" t="s">
        <v>150</v>
      </c>
      <c r="V50" s="138">
        <f>SUM(V44:V49)</f>
        <v>68.4404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</row>
    <row r="51" ht="16.5" customHeight="1">
      <c r="A51" s="94" t="s">
        <v>151</v>
      </c>
      <c r="C51" s="111">
        <f>B47+B48+B49</f>
        <v>4.63</v>
      </c>
      <c r="D51" s="48" t="s">
        <v>152</v>
      </c>
      <c r="E51" s="92">
        <f>SUM(C47:C49)</f>
        <v>11.112</v>
      </c>
      <c r="F51" s="4"/>
      <c r="G51" s="4"/>
      <c r="H51" s="19">
        <f>F31</f>
        <v>0.2</v>
      </c>
      <c r="I51" s="1"/>
      <c r="J51" s="1"/>
      <c r="K51" s="1"/>
      <c r="L51" s="1"/>
      <c r="M51" s="1"/>
      <c r="N51" s="4"/>
      <c r="O51" s="92"/>
      <c r="P51" s="140"/>
      <c r="Q51" s="4"/>
      <c r="R51" s="48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ht="16.5" customHeight="1">
      <c r="A52" s="141" t="s">
        <v>153</v>
      </c>
      <c r="B52" s="10"/>
      <c r="C52" s="10"/>
      <c r="D52" s="10"/>
      <c r="E52" s="10"/>
      <c r="F52" s="10"/>
      <c r="G52" s="4"/>
      <c r="H52" s="142">
        <v>0.2</v>
      </c>
      <c r="I52" s="1"/>
      <c r="J52" s="1"/>
      <c r="K52" s="1"/>
      <c r="L52" s="1"/>
      <c r="M52" s="1"/>
      <c r="N52" s="4"/>
      <c r="O52" s="4"/>
      <c r="P52" s="4"/>
      <c r="Q52" s="4"/>
      <c r="R52" s="141" t="s">
        <v>153</v>
      </c>
      <c r="S52" s="10"/>
      <c r="T52" s="10"/>
      <c r="U52" s="10"/>
      <c r="V52" s="10"/>
      <c r="W52" s="10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</row>
    <row r="53" ht="16.5" customHeight="1">
      <c r="A53" s="47" t="s">
        <v>150</v>
      </c>
      <c r="B53" s="95">
        <f>E50</f>
        <v>68.4404</v>
      </c>
      <c r="C53" s="49" t="s">
        <v>132</v>
      </c>
      <c r="D53" s="47" t="s">
        <v>154</v>
      </c>
      <c r="E53" s="95">
        <f>B37*B4/3</f>
        <v>7.102108741</v>
      </c>
      <c r="F53" s="49" t="s">
        <v>132</v>
      </c>
      <c r="G53" s="4"/>
      <c r="H53" s="1"/>
      <c r="I53" s="8"/>
      <c r="J53" s="1"/>
      <c r="K53" s="1"/>
      <c r="L53" s="1"/>
      <c r="M53" s="1"/>
      <c r="N53" s="4"/>
      <c r="O53" s="140"/>
      <c r="P53" s="4"/>
      <c r="Q53" s="4"/>
      <c r="R53" s="47" t="s">
        <v>150</v>
      </c>
      <c r="S53" s="95">
        <f t="shared" ref="S53:S55" si="13">B53</f>
        <v>68.4404</v>
      </c>
      <c r="T53" s="49" t="s">
        <v>132</v>
      </c>
      <c r="U53" s="47" t="s">
        <v>155</v>
      </c>
      <c r="V53" s="95">
        <f t="shared" ref="V53:V54" si="14">E53</f>
        <v>7.102108741</v>
      </c>
      <c r="W53" s="49" t="s">
        <v>132</v>
      </c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ht="16.5" customHeight="1">
      <c r="A54" s="47" t="s">
        <v>156</v>
      </c>
      <c r="B54" s="95">
        <f>D36*(I59-K58)</f>
        <v>0</v>
      </c>
      <c r="C54" s="49" t="s">
        <v>132</v>
      </c>
      <c r="D54" s="47" t="s">
        <v>157</v>
      </c>
      <c r="E54" s="95">
        <f>C37*B4/2</f>
        <v>1.04957272</v>
      </c>
      <c r="F54" s="49" t="s">
        <v>132</v>
      </c>
      <c r="G54" s="4"/>
      <c r="H54" s="1"/>
      <c r="I54" s="8"/>
      <c r="J54" s="1"/>
      <c r="K54" s="1"/>
      <c r="L54" s="1"/>
      <c r="M54" s="1"/>
      <c r="N54" s="4"/>
      <c r="O54" s="4"/>
      <c r="P54" s="4"/>
      <c r="Q54" s="4"/>
      <c r="R54" s="47" t="s">
        <v>156</v>
      </c>
      <c r="S54" s="95">
        <f t="shared" si="13"/>
        <v>0</v>
      </c>
      <c r="T54" s="49" t="s">
        <v>132</v>
      </c>
      <c r="U54" s="47" t="s">
        <v>158</v>
      </c>
      <c r="V54" s="95">
        <f t="shared" si="14"/>
        <v>1.04957272</v>
      </c>
      <c r="W54" s="49" t="s">
        <v>132</v>
      </c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</row>
    <row r="55" ht="16.5" customHeight="1">
      <c r="A55" s="47" t="s">
        <v>159</v>
      </c>
      <c r="B55" s="138">
        <f>B53+B54</f>
        <v>68.4404</v>
      </c>
      <c r="C55" s="49" t="s">
        <v>132</v>
      </c>
      <c r="D55" s="47" t="s">
        <v>160</v>
      </c>
      <c r="E55" s="138">
        <f>E53+E54</f>
        <v>8.151681462</v>
      </c>
      <c r="F55" s="49" t="s">
        <v>132</v>
      </c>
      <c r="G55" s="4"/>
      <c r="H55" s="1"/>
      <c r="I55" s="1"/>
      <c r="J55" s="1"/>
      <c r="K55" s="1"/>
      <c r="L55" s="143">
        <f>J35</f>
        <v>0.4</v>
      </c>
      <c r="M55" s="135">
        <v>0.7</v>
      </c>
      <c r="N55" s="4"/>
      <c r="O55" s="4"/>
      <c r="P55" s="4"/>
      <c r="Q55" s="4"/>
      <c r="R55" s="47" t="s">
        <v>161</v>
      </c>
      <c r="S55" s="95">
        <f t="shared" si="13"/>
        <v>68.4404</v>
      </c>
      <c r="T55" s="49" t="s">
        <v>132</v>
      </c>
      <c r="U55" s="47" t="s">
        <v>162</v>
      </c>
      <c r="V55" s="144">
        <f>T40</f>
        <v>3.299938169</v>
      </c>
      <c r="W55" s="49" t="s">
        <v>132</v>
      </c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ht="16.5" customHeight="1">
      <c r="A56" s="4"/>
      <c r="B56" s="4"/>
      <c r="C56" s="4"/>
      <c r="D56" s="4"/>
      <c r="E56" s="4"/>
      <c r="F56" s="4"/>
      <c r="G56" s="4"/>
      <c r="H56" s="1"/>
      <c r="I56" s="1"/>
      <c r="J56" s="1"/>
      <c r="K56" s="1"/>
      <c r="L56" s="1"/>
      <c r="M56" s="1"/>
      <c r="N56" s="4"/>
      <c r="O56" s="4"/>
      <c r="P56" s="4"/>
      <c r="Q56" s="4"/>
      <c r="R56" s="4"/>
      <c r="S56" s="4"/>
      <c r="T56" s="4"/>
      <c r="U56" s="47" t="s">
        <v>163</v>
      </c>
      <c r="V56" s="145">
        <f>E55+V55</f>
        <v>11.45161963</v>
      </c>
      <c r="W56" s="49" t="s">
        <v>132</v>
      </c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</row>
    <row r="57" ht="16.5" customHeight="1">
      <c r="A57" s="47" t="s">
        <v>164</v>
      </c>
      <c r="B57" s="146">
        <f>ROUND((B55)/E55,2)</f>
        <v>8.4</v>
      </c>
      <c r="C57" s="147" t="str">
        <f>IF(B57&lt;1.5,"NO","OK")</f>
        <v>OK</v>
      </c>
      <c r="D57" s="4"/>
      <c r="E57" s="4"/>
      <c r="F57" s="4"/>
      <c r="G57" s="4"/>
      <c r="H57" s="21">
        <f>F37</f>
        <v>0.9333333333</v>
      </c>
      <c r="I57" s="148">
        <f>J43+H52</f>
        <v>0.4</v>
      </c>
      <c r="J57" s="10"/>
      <c r="K57" s="21">
        <f>I37</f>
        <v>1.466666667</v>
      </c>
      <c r="M57" s="1"/>
      <c r="N57" s="4"/>
      <c r="O57" s="4"/>
      <c r="P57" s="4"/>
      <c r="Q57" s="4"/>
      <c r="R57" s="47" t="s">
        <v>164</v>
      </c>
      <c r="S57" s="146">
        <f>ROUND((S55)/V56,2)</f>
        <v>5.98</v>
      </c>
      <c r="T57" s="147" t="str">
        <f>IF(S57&lt;1.2,"NO","OK")</f>
        <v>OK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ht="16.5" customHeight="1">
      <c r="A58" s="4"/>
      <c r="B58" s="4"/>
      <c r="C58" s="4"/>
      <c r="D58" s="4"/>
      <c r="E58" s="4"/>
      <c r="F58" s="4"/>
      <c r="G58" s="4"/>
      <c r="H58" s="135">
        <v>3.5</v>
      </c>
      <c r="I58" s="36"/>
      <c r="J58" s="36"/>
      <c r="K58" s="149">
        <v>1.0</v>
      </c>
      <c r="L58" s="10"/>
      <c r="M58" s="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</row>
    <row r="59" ht="16.5" customHeight="1">
      <c r="A59" s="141" t="s">
        <v>165</v>
      </c>
      <c r="B59" s="10"/>
      <c r="C59" s="10"/>
      <c r="D59" s="10"/>
      <c r="E59" s="10"/>
      <c r="F59" s="10"/>
      <c r="G59" s="4"/>
      <c r="H59" s="4"/>
      <c r="I59" s="150">
        <f>H58+I57+K58</f>
        <v>4.9</v>
      </c>
      <c r="J59" s="10"/>
      <c r="K59" s="1"/>
      <c r="L59" s="1"/>
      <c r="M59" s="4"/>
      <c r="N59" s="4"/>
      <c r="O59" s="4"/>
      <c r="P59" s="4"/>
      <c r="Q59" s="4"/>
      <c r="R59" s="141" t="s">
        <v>165</v>
      </c>
      <c r="S59" s="10"/>
      <c r="T59" s="10"/>
      <c r="U59" s="10"/>
      <c r="V59" s="10"/>
      <c r="W59" s="10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ht="16.5" customHeight="1">
      <c r="A60" s="47" t="s">
        <v>149</v>
      </c>
      <c r="B60" s="92">
        <f>C50</f>
        <v>19.632</v>
      </c>
      <c r="C60" s="49" t="s">
        <v>116</v>
      </c>
      <c r="D60" s="47" t="s">
        <v>166</v>
      </c>
      <c r="E60" s="151">
        <f>TAN(D24)</f>
        <v>0.5866965153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7" t="s">
        <v>149</v>
      </c>
      <c r="S60" s="92">
        <f t="shared" ref="S60:S62" si="15">B60</f>
        <v>19.632</v>
      </c>
      <c r="T60" s="49" t="s">
        <v>116</v>
      </c>
      <c r="U60" s="47" t="s">
        <v>166</v>
      </c>
      <c r="V60" s="151">
        <f t="shared" ref="V60:V61" si="16">E60</f>
        <v>0.5866965153</v>
      </c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152"/>
      <c r="AT60" s="152" t="s">
        <v>167</v>
      </c>
      <c r="AU60" s="153" t="s">
        <v>168</v>
      </c>
      <c r="AV60" s="4"/>
      <c r="AW60" s="4"/>
      <c r="AX60" s="4"/>
      <c r="AY60" s="4"/>
      <c r="AZ60" s="4"/>
      <c r="BA60" s="4"/>
    </row>
    <row r="61" ht="16.5" customHeight="1">
      <c r="A61" s="47" t="s">
        <v>169</v>
      </c>
      <c r="B61" s="92">
        <f>D36</f>
        <v>0</v>
      </c>
      <c r="C61" s="49" t="s">
        <v>116</v>
      </c>
      <c r="D61" s="47" t="s">
        <v>170</v>
      </c>
      <c r="E61" s="92">
        <f>B62*E60</f>
        <v>11.51802599</v>
      </c>
      <c r="F61" s="49" t="s">
        <v>116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7" t="s">
        <v>171</v>
      </c>
      <c r="S61" s="92">
        <f t="shared" si="15"/>
        <v>0</v>
      </c>
      <c r="T61" s="49" t="s">
        <v>116</v>
      </c>
      <c r="U61" s="47" t="s">
        <v>170</v>
      </c>
      <c r="V61" s="151">
        <f t="shared" si="16"/>
        <v>11.51802599</v>
      </c>
      <c r="W61" s="49" t="s">
        <v>116</v>
      </c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152" t="s">
        <v>172</v>
      </c>
      <c r="AT61" s="154">
        <f>I67/2+H57</f>
        <v>1.133333333</v>
      </c>
      <c r="AU61" s="154">
        <f>AT61*B70</f>
        <v>0</v>
      </c>
      <c r="AV61" s="4"/>
      <c r="AW61" s="4"/>
      <c r="AX61" s="4"/>
      <c r="AY61" s="4"/>
      <c r="AZ61" s="4"/>
      <c r="BA61" s="4"/>
    </row>
    <row r="62" ht="16.5" customHeight="1">
      <c r="A62" s="47" t="s">
        <v>173</v>
      </c>
      <c r="B62" s="138">
        <f>B60+B61</f>
        <v>19.632</v>
      </c>
      <c r="C62" s="49" t="s">
        <v>116</v>
      </c>
      <c r="D62" s="47" t="s">
        <v>174</v>
      </c>
      <c r="E62" s="92">
        <f>D37</f>
        <v>5.851367916</v>
      </c>
      <c r="F62" s="49" t="s">
        <v>116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7" t="s">
        <v>173</v>
      </c>
      <c r="S62" s="92">
        <f t="shared" si="15"/>
        <v>19.632</v>
      </c>
      <c r="T62" s="49" t="s">
        <v>116</v>
      </c>
      <c r="U62" s="47" t="s">
        <v>175</v>
      </c>
      <c r="V62" s="144">
        <f>T37</f>
        <v>1.374974237</v>
      </c>
      <c r="W62" s="49" t="s">
        <v>116</v>
      </c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152" t="s">
        <v>176</v>
      </c>
      <c r="AT62" s="134">
        <f>I59-I67+I67/2</f>
        <v>4.7</v>
      </c>
      <c r="AU62" s="154">
        <f>B70*AT62</f>
        <v>0</v>
      </c>
      <c r="AV62" s="4"/>
      <c r="AW62" s="4"/>
      <c r="AX62" s="4"/>
      <c r="AY62" s="4"/>
      <c r="AZ62" s="4"/>
      <c r="BA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7" t="s">
        <v>177</v>
      </c>
      <c r="V63" s="155">
        <f>E62+V62</f>
        <v>7.226342153</v>
      </c>
      <c r="W63" s="49" t="s">
        <v>116</v>
      </c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ht="16.5" customHeight="1">
      <c r="A64" s="47" t="s">
        <v>164</v>
      </c>
      <c r="B64" s="146">
        <f>ROUND((E61)/E62,2)</f>
        <v>1.97</v>
      </c>
      <c r="C64" s="147" t="str">
        <f>IF(B64&lt;1.5,"NO","OK")</f>
        <v>OK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7" t="s">
        <v>164</v>
      </c>
      <c r="S64" s="146">
        <f>ROUND((V61)/V63,2)</f>
        <v>1.59</v>
      </c>
      <c r="T64" s="147" t="str">
        <f>IF(S64&lt;1.2,"NO","OK")</f>
        <v>OK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7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ht="16.5" customHeight="1">
      <c r="A66" s="94" t="s">
        <v>178</v>
      </c>
      <c r="K66" s="4"/>
      <c r="L66" s="4"/>
      <c r="M66" s="4"/>
      <c r="N66" s="4"/>
      <c r="O66" s="4"/>
      <c r="P66" s="4"/>
      <c r="Q66" s="4"/>
      <c r="R66" s="94" t="s">
        <v>178</v>
      </c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</row>
    <row r="67" ht="16.5" customHeight="1">
      <c r="A67" s="48" t="s">
        <v>179</v>
      </c>
      <c r="B67" s="156" t="s">
        <v>172</v>
      </c>
      <c r="C67" s="10"/>
      <c r="D67" s="4"/>
      <c r="E67" s="4"/>
      <c r="F67" s="157" t="s">
        <v>180</v>
      </c>
      <c r="G67" s="10"/>
      <c r="H67" s="10"/>
      <c r="I67" s="94">
        <f>I57</f>
        <v>0.4</v>
      </c>
      <c r="J67" s="4"/>
      <c r="K67" s="4"/>
      <c r="L67" s="4"/>
      <c r="M67" s="1"/>
      <c r="N67" s="1"/>
      <c r="O67" s="4"/>
      <c r="P67" s="4"/>
      <c r="Q67" s="4"/>
      <c r="R67" s="48" t="s">
        <v>179</v>
      </c>
      <c r="S67" s="156" t="s">
        <v>172</v>
      </c>
      <c r="T67" s="10"/>
      <c r="U67" s="4"/>
      <c r="V67" s="4"/>
      <c r="W67" s="158" t="s">
        <v>180</v>
      </c>
      <c r="X67" s="10"/>
      <c r="Y67" s="10"/>
      <c r="Z67" s="94">
        <f>I67</f>
        <v>0.4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152" t="s">
        <v>12</v>
      </c>
      <c r="AT67" s="154">
        <f>POWER(J70+M55,2)*B23*B30*0.5</f>
        <v>1.516350386</v>
      </c>
      <c r="AU67" s="92">
        <f>AT67</f>
        <v>1.516350386</v>
      </c>
      <c r="AV67" s="4"/>
      <c r="AW67" s="4"/>
      <c r="AX67" s="4"/>
      <c r="AY67" s="4"/>
      <c r="AZ67" s="4"/>
      <c r="BA67" s="4"/>
    </row>
    <row r="68" ht="16.5" customHeight="1">
      <c r="A68" s="47" t="s">
        <v>71</v>
      </c>
      <c r="B68" s="7">
        <v>10.0</v>
      </c>
      <c r="C68" s="4"/>
      <c r="D68" s="4"/>
      <c r="E68" s="4"/>
      <c r="F68" s="4"/>
      <c r="G68" s="1"/>
      <c r="H68" s="1"/>
      <c r="I68" s="4"/>
      <c r="J68" s="4"/>
      <c r="K68" s="4"/>
      <c r="L68" s="4"/>
      <c r="M68" s="1"/>
      <c r="N68" s="1"/>
      <c r="O68" s="4"/>
      <c r="P68" s="4"/>
      <c r="Q68" s="4"/>
      <c r="R68" s="47" t="s">
        <v>71</v>
      </c>
      <c r="S68" s="7">
        <v>10.0</v>
      </c>
      <c r="T68" s="4"/>
      <c r="U68" s="4"/>
      <c r="V68" s="4"/>
      <c r="W68" s="4"/>
      <c r="X68" s="1"/>
      <c r="Y68" s="1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152" t="s">
        <v>15</v>
      </c>
      <c r="AT68" s="154">
        <v>0.0</v>
      </c>
      <c r="AU68" s="92">
        <v>0.0</v>
      </c>
      <c r="AV68" s="4"/>
      <c r="AW68" s="4"/>
      <c r="AX68" s="4"/>
      <c r="AY68" s="4"/>
      <c r="AZ68" s="4"/>
      <c r="BA68" s="4"/>
    </row>
    <row r="69" ht="16.5" customHeight="1">
      <c r="A69" s="47" t="s">
        <v>181</v>
      </c>
      <c r="B69" s="95">
        <f>I67*J70</f>
        <v>0</v>
      </c>
      <c r="C69" s="4" t="s">
        <v>182</v>
      </c>
      <c r="D69" s="4"/>
      <c r="E69" s="4"/>
      <c r="F69" s="4"/>
      <c r="G69" s="1"/>
      <c r="H69" s="1"/>
      <c r="I69" s="1"/>
      <c r="J69" s="94">
        <f>B4/B68</f>
        <v>0.4</v>
      </c>
      <c r="K69" s="4"/>
      <c r="L69" s="4"/>
      <c r="M69" s="1"/>
      <c r="N69" s="1"/>
      <c r="O69" s="4"/>
      <c r="P69" s="4"/>
      <c r="Q69" s="4"/>
      <c r="R69" s="47" t="s">
        <v>181</v>
      </c>
      <c r="S69" s="95">
        <f t="shared" ref="S69:S70" si="17">B69</f>
        <v>0</v>
      </c>
      <c r="T69" s="4" t="s">
        <v>182</v>
      </c>
      <c r="U69" s="4"/>
      <c r="V69" s="4"/>
      <c r="W69" s="4"/>
      <c r="X69" s="1"/>
      <c r="Y69" s="1"/>
      <c r="Z69" s="1"/>
      <c r="AA69" s="94">
        <f t="shared" ref="AA69:AA70" si="18">J69</f>
        <v>0.4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</row>
    <row r="70" ht="16.5" customHeight="1">
      <c r="A70" s="47" t="s">
        <v>183</v>
      </c>
      <c r="B70" s="95">
        <f>B69*B22</f>
        <v>0</v>
      </c>
      <c r="C70" s="49" t="s">
        <v>116</v>
      </c>
      <c r="D70" s="4"/>
      <c r="E70" s="4"/>
      <c r="F70" s="4"/>
      <c r="G70" s="4"/>
      <c r="H70" s="4"/>
      <c r="I70" s="1"/>
      <c r="J70" s="135">
        <v>0.0</v>
      </c>
      <c r="K70" s="112" t="s">
        <v>184</v>
      </c>
      <c r="L70" s="4"/>
      <c r="M70" s="1"/>
      <c r="N70" s="1"/>
      <c r="O70" s="4"/>
      <c r="P70" s="4"/>
      <c r="Q70" s="4"/>
      <c r="R70" s="47" t="s">
        <v>183</v>
      </c>
      <c r="S70" s="95">
        <f t="shared" si="17"/>
        <v>0</v>
      </c>
      <c r="T70" s="49" t="s">
        <v>116</v>
      </c>
      <c r="U70" s="4"/>
      <c r="V70" s="4"/>
      <c r="W70" s="4"/>
      <c r="X70" s="4"/>
      <c r="Y70" s="4"/>
      <c r="Z70" s="1"/>
      <c r="AA70" s="8">
        <f t="shared" si="18"/>
        <v>0</v>
      </c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</row>
    <row r="71" ht="16.5" customHeight="1">
      <c r="A71" s="34" t="s">
        <v>185</v>
      </c>
      <c r="B71" s="10"/>
      <c r="C71" s="10"/>
      <c r="D71" s="4"/>
      <c r="E71" s="34" t="s">
        <v>186</v>
      </c>
      <c r="F71" s="10"/>
      <c r="G71" s="10"/>
      <c r="H71" s="10"/>
      <c r="I71" s="10"/>
      <c r="J71" s="10"/>
      <c r="K71" s="1"/>
      <c r="L71" s="1"/>
      <c r="M71" s="1"/>
      <c r="N71" s="1"/>
      <c r="O71" s="4"/>
      <c r="P71" s="4"/>
      <c r="Q71" s="4"/>
      <c r="R71" s="34" t="s">
        <v>185</v>
      </c>
      <c r="S71" s="10"/>
      <c r="T71" s="10"/>
      <c r="U71" s="4"/>
      <c r="V71" s="34" t="s">
        <v>186</v>
      </c>
      <c r="W71" s="10"/>
      <c r="X71" s="10"/>
      <c r="Y71" s="10"/>
      <c r="Z71" s="10"/>
      <c r="AA71" s="10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92"/>
      <c r="AU71" s="4"/>
      <c r="AV71" s="4"/>
      <c r="AW71" s="4"/>
      <c r="AX71" s="4"/>
      <c r="AY71" s="4"/>
      <c r="AZ71" s="4"/>
      <c r="BA71" s="4"/>
    </row>
    <row r="72" ht="16.5" customHeight="1">
      <c r="A72" s="4"/>
      <c r="B72" s="4"/>
      <c r="C72" s="4"/>
      <c r="D72" s="4"/>
      <c r="E72" s="4"/>
      <c r="F72" s="4"/>
      <c r="G72" s="4"/>
      <c r="H72" s="94" t="s">
        <v>187</v>
      </c>
      <c r="J72" s="7" t="s">
        <v>12</v>
      </c>
      <c r="K72" s="4"/>
      <c r="L72" s="1"/>
      <c r="M72" s="1"/>
      <c r="N72" s="1"/>
      <c r="O72" s="4"/>
      <c r="P72" s="4"/>
      <c r="Q72" s="4"/>
      <c r="R72" s="4"/>
      <c r="S72" s="4"/>
      <c r="T72" s="4"/>
      <c r="U72" s="4"/>
      <c r="V72" s="4"/>
      <c r="W72" s="4"/>
      <c r="X72" s="4"/>
      <c r="Y72" s="94" t="s">
        <v>187</v>
      </c>
      <c r="AA72" s="7" t="s">
        <v>12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</row>
    <row r="73" ht="16.5" customHeight="1">
      <c r="A73" s="47" t="s">
        <v>188</v>
      </c>
      <c r="B73" s="95">
        <f>VLOOKUP(B67,AS61:AU62,2,FALSE)</f>
        <v>1.133333333</v>
      </c>
      <c r="C73" s="49" t="s">
        <v>42</v>
      </c>
      <c r="D73" s="4"/>
      <c r="E73" s="47" t="s">
        <v>189</v>
      </c>
      <c r="F73" s="92">
        <f>B62+B70</f>
        <v>19.632</v>
      </c>
      <c r="G73" s="49" t="s">
        <v>116</v>
      </c>
      <c r="H73" s="47" t="s">
        <v>190</v>
      </c>
      <c r="I73" s="92">
        <f>VLOOKUP(J72,AS67:AT68,2,FALSE)</f>
        <v>1.516350386</v>
      </c>
      <c r="J73" s="49" t="s">
        <v>116</v>
      </c>
      <c r="K73" s="1"/>
      <c r="L73" s="4"/>
      <c r="M73" s="4"/>
      <c r="N73" s="4"/>
      <c r="O73" s="4"/>
      <c r="P73" s="4"/>
      <c r="Q73" s="4"/>
      <c r="R73" s="47" t="s">
        <v>188</v>
      </c>
      <c r="S73" s="95">
        <f t="shared" ref="S73:S75" si="19">B73</f>
        <v>1.133333333</v>
      </c>
      <c r="T73" s="49" t="s">
        <v>42</v>
      </c>
      <c r="U73" s="4"/>
      <c r="V73" s="47" t="s">
        <v>189</v>
      </c>
      <c r="W73" s="92">
        <f t="shared" ref="W73:W74" si="20">F73</f>
        <v>19.632</v>
      </c>
      <c r="X73" s="49" t="s">
        <v>116</v>
      </c>
      <c r="Y73" s="47" t="s">
        <v>190</v>
      </c>
      <c r="Z73" s="92">
        <f>VLOOKUP(AA72,AS67:AU68,3,FALSE)</f>
        <v>1.516350386</v>
      </c>
      <c r="AA73" s="49" t="s">
        <v>116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 ht="16.5" customHeight="1">
      <c r="A74" s="47" t="s">
        <v>191</v>
      </c>
      <c r="B74" s="95">
        <f>VLOOKUP(B67,AS61:AU62,3,FALSE)</f>
        <v>0</v>
      </c>
      <c r="C74" s="49" t="s">
        <v>132</v>
      </c>
      <c r="D74" s="92"/>
      <c r="E74" s="47" t="s">
        <v>170</v>
      </c>
      <c r="F74" s="92">
        <f>F73*E60</f>
        <v>11.51802599</v>
      </c>
      <c r="G74" s="49" t="s">
        <v>116</v>
      </c>
      <c r="H74" s="47" t="s">
        <v>192</v>
      </c>
      <c r="I74" s="92">
        <f>E62</f>
        <v>5.851367916</v>
      </c>
      <c r="J74" s="49" t="s">
        <v>116</v>
      </c>
      <c r="K74" s="1"/>
      <c r="L74" s="1"/>
      <c r="M74" s="4"/>
      <c r="N74" s="4"/>
      <c r="O74" s="4"/>
      <c r="P74" s="4"/>
      <c r="Q74" s="4"/>
      <c r="R74" s="47" t="s">
        <v>191</v>
      </c>
      <c r="S74" s="95">
        <f t="shared" si="19"/>
        <v>0</v>
      </c>
      <c r="T74" s="49" t="s">
        <v>132</v>
      </c>
      <c r="U74" s="92"/>
      <c r="V74" s="47" t="s">
        <v>170</v>
      </c>
      <c r="W74" s="92">
        <f t="shared" si="20"/>
        <v>11.51802599</v>
      </c>
      <c r="X74" s="49" t="s">
        <v>116</v>
      </c>
      <c r="Y74" s="47" t="s">
        <v>192</v>
      </c>
      <c r="Z74" s="92">
        <f>V63</f>
        <v>7.226342153</v>
      </c>
      <c r="AA74" s="49" t="s">
        <v>116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</row>
    <row r="75" ht="16.5" customHeight="1">
      <c r="A75" s="47" t="s">
        <v>193</v>
      </c>
      <c r="B75" s="159">
        <f>B74+B55</f>
        <v>68.4404</v>
      </c>
      <c r="C75" s="49" t="s">
        <v>132</v>
      </c>
      <c r="D75" s="92"/>
      <c r="E75" s="4"/>
      <c r="F75" s="4"/>
      <c r="G75" s="4"/>
      <c r="H75" s="4"/>
      <c r="I75" s="1"/>
      <c r="J75" s="1"/>
      <c r="K75" s="1"/>
      <c r="L75" s="1"/>
      <c r="M75" s="1"/>
      <c r="N75" s="1"/>
      <c r="O75" s="4"/>
      <c r="P75" s="4"/>
      <c r="Q75" s="4"/>
      <c r="R75" s="47" t="s">
        <v>194</v>
      </c>
      <c r="S75" s="95">
        <f t="shared" si="19"/>
        <v>68.4404</v>
      </c>
      <c r="T75" s="49" t="s">
        <v>132</v>
      </c>
      <c r="U75" s="92"/>
      <c r="V75" s="4"/>
      <c r="W75" s="4"/>
      <c r="X75" s="4"/>
      <c r="Y75" s="4"/>
      <c r="Z75" s="1"/>
      <c r="AA75" s="1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</row>
    <row r="76" ht="16.5" customHeight="1">
      <c r="A76" s="47" t="s">
        <v>164</v>
      </c>
      <c r="B76" s="146">
        <f>ROUND((B75)/E55,2)</f>
        <v>8.4</v>
      </c>
      <c r="C76" s="147" t="str">
        <f>IF(B76&lt;1.5,"NO","OK")</f>
        <v>OK</v>
      </c>
      <c r="D76" s="4"/>
      <c r="E76" s="4"/>
      <c r="F76" s="47" t="s">
        <v>164</v>
      </c>
      <c r="G76" s="146">
        <f>ROUND((F74+I73)/I74,2)</f>
        <v>2.23</v>
      </c>
      <c r="H76" s="147" t="str">
        <f>IF(G76&lt;1.5,"NO","OK")</f>
        <v>OK</v>
      </c>
      <c r="I76" s="1"/>
      <c r="J76" s="1"/>
      <c r="K76" s="1"/>
      <c r="L76" s="8"/>
      <c r="M76" s="1"/>
      <c r="N76" s="1"/>
      <c r="O76" s="4"/>
      <c r="P76" s="4"/>
      <c r="Q76" s="4"/>
      <c r="R76" s="47" t="s">
        <v>164</v>
      </c>
      <c r="S76" s="146">
        <f>ROUND((S75)/V56,2)</f>
        <v>5.98</v>
      </c>
      <c r="T76" s="147" t="str">
        <f>IF(S76&lt;1.2,"NO","OK")</f>
        <v>OK</v>
      </c>
      <c r="U76" s="4"/>
      <c r="V76" s="4"/>
      <c r="W76" s="47" t="s">
        <v>164</v>
      </c>
      <c r="X76" s="146">
        <f>ROUND((W74+Z73)/Z74,2)</f>
        <v>1.8</v>
      </c>
      <c r="Y76" s="147" t="str">
        <f>IF(X76&lt;1.2,"NO","OK")</f>
        <v>OK</v>
      </c>
      <c r="Z76" s="1"/>
      <c r="AA76" s="1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</row>
    <row r="77" ht="16.5" customHeight="1">
      <c r="A77" s="141" t="s">
        <v>195</v>
      </c>
      <c r="B77" s="10"/>
      <c r="C77" s="10"/>
      <c r="D77" s="10"/>
      <c r="E77" s="10"/>
      <c r="F77" s="10"/>
      <c r="G77" s="10"/>
      <c r="H77" s="10"/>
      <c r="I77" s="10"/>
      <c r="J77" s="10"/>
      <c r="K77" s="1"/>
      <c r="L77" s="1"/>
      <c r="M77" s="1"/>
      <c r="N77" s="1"/>
      <c r="O77" s="4"/>
      <c r="P77" s="4"/>
      <c r="Q77" s="4"/>
      <c r="R77" s="141" t="s">
        <v>196</v>
      </c>
      <c r="S77" s="10"/>
      <c r="T77" s="10"/>
      <c r="U77" s="10"/>
      <c r="V77" s="10"/>
      <c r="W77" s="10"/>
      <c r="X77" s="10"/>
      <c r="Y77" s="10"/>
      <c r="Z77" s="10"/>
      <c r="AA77" s="10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</row>
    <row r="78" ht="16.5" customHeight="1">
      <c r="A78" s="47" t="s">
        <v>197</v>
      </c>
      <c r="B78" s="95">
        <f>B75</f>
        <v>68.4404</v>
      </c>
      <c r="C78" s="49" t="s">
        <v>132</v>
      </c>
      <c r="D78" s="47" t="s">
        <v>189</v>
      </c>
      <c r="E78" s="95">
        <f>F73</f>
        <v>19.632</v>
      </c>
      <c r="F78" s="49" t="s">
        <v>116</v>
      </c>
      <c r="G78" s="4"/>
      <c r="H78" s="4"/>
      <c r="I78" s="1"/>
      <c r="J78" s="1"/>
      <c r="K78" s="1"/>
      <c r="L78" s="1"/>
      <c r="M78" s="1"/>
      <c r="N78" s="1"/>
      <c r="O78" s="4"/>
      <c r="P78" s="4"/>
      <c r="Q78" s="4"/>
      <c r="R78" s="47" t="s">
        <v>198</v>
      </c>
      <c r="S78" s="95">
        <f>S75</f>
        <v>68.4404</v>
      </c>
      <c r="T78" s="49" t="s">
        <v>132</v>
      </c>
      <c r="U78" s="47" t="s">
        <v>189</v>
      </c>
      <c r="V78" s="95">
        <f>W73</f>
        <v>19.632</v>
      </c>
      <c r="W78" s="4" t="s">
        <v>116</v>
      </c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</row>
    <row r="79" ht="16.5" customHeight="1">
      <c r="A79" s="47" t="s">
        <v>199</v>
      </c>
      <c r="B79" s="92">
        <f>E55</f>
        <v>8.151681462</v>
      </c>
      <c r="C79" s="49" t="s">
        <v>132</v>
      </c>
      <c r="D79" s="4"/>
      <c r="E79" s="4"/>
      <c r="F79" s="160" t="s">
        <v>200</v>
      </c>
      <c r="G79" s="10"/>
      <c r="H79" s="10"/>
      <c r="I79" s="10"/>
      <c r="J79" s="10"/>
      <c r="K79" s="1"/>
      <c r="L79" s="1"/>
      <c r="M79" s="1"/>
      <c r="N79" s="1"/>
      <c r="O79" s="4"/>
      <c r="P79" s="4"/>
      <c r="Q79" s="4"/>
      <c r="R79" s="47" t="s">
        <v>199</v>
      </c>
      <c r="S79" s="92">
        <f>V56</f>
        <v>11.45161963</v>
      </c>
      <c r="T79" s="49" t="s">
        <v>132</v>
      </c>
      <c r="U79" s="4"/>
      <c r="V79" s="4"/>
      <c r="W79" s="160" t="s">
        <v>200</v>
      </c>
      <c r="X79" s="10"/>
      <c r="Y79" s="10"/>
      <c r="Z79" s="10"/>
      <c r="AA79" s="10"/>
      <c r="AB79" s="1"/>
      <c r="AC79" s="1"/>
      <c r="AD79" s="1"/>
      <c r="AE79" s="1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</row>
    <row r="80" ht="16.5" customHeight="1">
      <c r="A80" s="47" t="s">
        <v>201</v>
      </c>
      <c r="B80" s="92">
        <f>B78-B79</f>
        <v>60.28871854</v>
      </c>
      <c r="C80" s="49" t="s">
        <v>132</v>
      </c>
      <c r="D80" s="4"/>
      <c r="E80" s="4"/>
      <c r="F80" s="4"/>
      <c r="G80" s="1"/>
      <c r="H80" s="1"/>
      <c r="I80" s="1"/>
      <c r="J80" s="1"/>
      <c r="K80" s="2"/>
      <c r="L80" s="1"/>
      <c r="M80" s="1"/>
      <c r="N80" s="1"/>
      <c r="O80" s="4"/>
      <c r="P80" s="4"/>
      <c r="Q80" s="4"/>
      <c r="R80" s="47" t="s">
        <v>201</v>
      </c>
      <c r="S80" s="92">
        <f>S78-S79</f>
        <v>56.98878037</v>
      </c>
      <c r="T80" s="49" t="s">
        <v>132</v>
      </c>
      <c r="U80" s="4"/>
      <c r="V80" s="4"/>
      <c r="W80" s="4"/>
      <c r="X80" s="1"/>
      <c r="Y80" s="1"/>
      <c r="Z80" s="1"/>
      <c r="AA80" s="1"/>
      <c r="AB80" s="2"/>
      <c r="AC80" s="1"/>
      <c r="AD80" s="1"/>
      <c r="AE80" s="1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ht="16.5" customHeight="1">
      <c r="A81" s="160" t="s">
        <v>202</v>
      </c>
      <c r="B81" s="10"/>
      <c r="C81" s="10"/>
      <c r="D81" s="10"/>
      <c r="E81" s="4"/>
      <c r="F81" s="4"/>
      <c r="G81" s="21"/>
      <c r="H81" s="8"/>
      <c r="I81" s="8"/>
      <c r="J81" s="19"/>
      <c r="K81" s="1"/>
      <c r="L81" s="1" t="s">
        <v>203</v>
      </c>
      <c r="M81" s="1"/>
      <c r="N81" s="1"/>
      <c r="O81" s="4"/>
      <c r="P81" s="4"/>
      <c r="Q81" s="4"/>
      <c r="R81" s="160" t="s">
        <v>202</v>
      </c>
      <c r="S81" s="10"/>
      <c r="T81" s="10"/>
      <c r="U81" s="10"/>
      <c r="V81" s="4"/>
      <c r="W81" s="4"/>
      <c r="X81" s="21"/>
      <c r="Y81" s="8"/>
      <c r="Z81" s="8"/>
      <c r="AA81" s="19"/>
      <c r="AB81" s="1"/>
      <c r="AC81" s="1" t="s">
        <v>203</v>
      </c>
      <c r="AD81" s="1"/>
      <c r="AE81" s="1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ht="16.5" customHeight="1">
      <c r="A82" s="137" t="s">
        <v>204</v>
      </c>
      <c r="B82" s="159">
        <f>(B80)/E78</f>
        <v>3.070941246</v>
      </c>
      <c r="C82" s="49" t="s">
        <v>42</v>
      </c>
      <c r="D82" s="4"/>
      <c r="E82" s="92"/>
      <c r="F82" s="4"/>
      <c r="G82" s="1"/>
      <c r="H82" s="8"/>
      <c r="I82" s="8"/>
      <c r="J82" s="1"/>
      <c r="K82" s="1"/>
      <c r="L82" s="4"/>
      <c r="M82" s="4"/>
      <c r="N82" s="8"/>
      <c r="O82" s="153" t="s">
        <v>205</v>
      </c>
      <c r="P82" s="153" t="s">
        <v>206</v>
      </c>
      <c r="Q82" s="4"/>
      <c r="R82" s="137" t="s">
        <v>204</v>
      </c>
      <c r="S82" s="159">
        <f>(S80)/V78</f>
        <v>2.902851486</v>
      </c>
      <c r="T82" s="49" t="s">
        <v>42</v>
      </c>
      <c r="U82" s="4"/>
      <c r="V82" s="92"/>
      <c r="W82" s="4"/>
      <c r="X82" s="1"/>
      <c r="Y82" s="8"/>
      <c r="Z82" s="8"/>
      <c r="AA82" s="1"/>
      <c r="AB82" s="1"/>
      <c r="AC82" s="4"/>
      <c r="AD82" s="4"/>
      <c r="AE82" s="8"/>
      <c r="AF82" s="153" t="s">
        <v>205</v>
      </c>
      <c r="AG82" s="153" t="s">
        <v>206</v>
      </c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ht="16.5" customHeight="1">
      <c r="A83" s="47" t="s">
        <v>207</v>
      </c>
      <c r="B83" s="95">
        <f>I59/3</f>
        <v>1.633333333</v>
      </c>
      <c r="C83" s="49" t="s">
        <v>42</v>
      </c>
      <c r="D83" s="4"/>
      <c r="E83" s="4"/>
      <c r="F83" s="4"/>
      <c r="G83" s="4"/>
      <c r="H83" s="4"/>
      <c r="I83" s="4"/>
      <c r="J83" s="4"/>
      <c r="K83" s="1"/>
      <c r="L83" s="4"/>
      <c r="M83" s="4"/>
      <c r="N83" s="1"/>
      <c r="O83" s="153">
        <v>0.0</v>
      </c>
      <c r="P83" s="153">
        <v>0.0</v>
      </c>
      <c r="Q83" s="4"/>
      <c r="R83" s="47" t="s">
        <v>207</v>
      </c>
      <c r="S83" s="95">
        <f>B83</f>
        <v>1.633333333</v>
      </c>
      <c r="T83" s="49" t="s">
        <v>42</v>
      </c>
      <c r="U83" s="4"/>
      <c r="V83" s="4"/>
      <c r="W83" s="4"/>
      <c r="X83" s="4"/>
      <c r="Y83" s="4"/>
      <c r="Z83" s="4"/>
      <c r="AA83" s="4"/>
      <c r="AB83" s="1"/>
      <c r="AC83" s="4"/>
      <c r="AD83" s="4"/>
      <c r="AE83" s="1"/>
      <c r="AF83" s="153">
        <v>0.0</v>
      </c>
      <c r="AG83" s="153">
        <v>0.0</v>
      </c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ht="16.5" customHeight="1">
      <c r="A84" s="47" t="s">
        <v>208</v>
      </c>
      <c r="B84" s="95">
        <f>B83*2</f>
        <v>3.266666667</v>
      </c>
      <c r="C84" s="49" t="s">
        <v>42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1"/>
      <c r="O84" s="153">
        <v>0.0</v>
      </c>
      <c r="P84" s="161">
        <f t="shared" ref="P84:P85" si="21">-B87</f>
        <v>-0.9602202736</v>
      </c>
      <c r="Q84" s="4"/>
      <c r="R84" s="47" t="s">
        <v>208</v>
      </c>
      <c r="S84" s="95">
        <f>S83*2</f>
        <v>3.266666667</v>
      </c>
      <c r="T84" s="49" t="s">
        <v>42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1"/>
      <c r="AF84" s="153">
        <v>0.0</v>
      </c>
      <c r="AG84" s="161">
        <f t="shared" ref="AG84:AG85" si="22">-S88</f>
        <v>-1.784861216</v>
      </c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ht="16.5" customHeight="1">
      <c r="A85" s="94" t="s">
        <v>209</v>
      </c>
      <c r="D85" s="147" t="str">
        <f>IF(AND(B82&gt;=B83,B82&lt;=B84),"SI","NO")</f>
        <v>SI</v>
      </c>
      <c r="E85" s="4"/>
      <c r="F85" s="4"/>
      <c r="G85" s="4"/>
      <c r="H85" s="4"/>
      <c r="I85" s="4"/>
      <c r="J85" s="4"/>
      <c r="K85" s="4"/>
      <c r="L85" s="4"/>
      <c r="M85" s="4"/>
      <c r="N85" s="1"/>
      <c r="O85" s="161">
        <f>I59</f>
        <v>4.9</v>
      </c>
      <c r="P85" s="161">
        <f t="shared" si="21"/>
        <v>-7.052840951</v>
      </c>
      <c r="Q85" s="4"/>
      <c r="R85" s="47" t="s">
        <v>210</v>
      </c>
      <c r="S85" s="4">
        <f>1.3*B5</f>
        <v>13.65</v>
      </c>
      <c r="T85" s="49" t="s">
        <v>48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1"/>
      <c r="AF85" s="161">
        <f>I59</f>
        <v>4.9</v>
      </c>
      <c r="AG85" s="161">
        <f t="shared" si="22"/>
        <v>-6.228200009</v>
      </c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ht="16.5" customHeight="1">
      <c r="A86" s="162" t="s">
        <v>211</v>
      </c>
      <c r="B86" s="10"/>
      <c r="C86" s="10"/>
      <c r="D86" s="10"/>
      <c r="E86" s="4"/>
      <c r="F86" s="4"/>
      <c r="G86" s="4"/>
      <c r="H86" s="4"/>
      <c r="I86" s="4"/>
      <c r="J86" s="4"/>
      <c r="K86" s="4"/>
      <c r="L86" s="4"/>
      <c r="M86" s="4"/>
      <c r="N86" s="4"/>
      <c r="O86" s="161">
        <f>O85</f>
        <v>4.9</v>
      </c>
      <c r="P86" s="153">
        <v>0.0</v>
      </c>
      <c r="Q86" s="4"/>
      <c r="R86" s="94" t="s">
        <v>209</v>
      </c>
      <c r="U86" s="147" t="str">
        <f>IF(AND(S82&gt;=S83,S82&lt;=S84),"SI","NO")</f>
        <v>SI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161">
        <f>AF85</f>
        <v>4.9</v>
      </c>
      <c r="AG86" s="153">
        <v>0.0</v>
      </c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ht="16.5" customHeight="1">
      <c r="A87" s="47" t="s">
        <v>212</v>
      </c>
      <c r="B87" s="146">
        <f>(4*I59-6*B82)*B62/(I59*I59)</f>
        <v>0.9602202736</v>
      </c>
      <c r="C87" s="49" t="s">
        <v>48</v>
      </c>
      <c r="D87" s="147" t="str">
        <f>IF(B87&lt;B5,"OK","NO")</f>
        <v>OK</v>
      </c>
      <c r="E87" s="4"/>
      <c r="F87" s="162" t="s">
        <v>213</v>
      </c>
      <c r="G87" s="10"/>
      <c r="H87" s="10"/>
      <c r="I87" s="10"/>
      <c r="J87" s="10"/>
      <c r="K87" s="4"/>
      <c r="L87" s="4"/>
      <c r="M87" s="4"/>
      <c r="N87" s="4"/>
      <c r="O87" s="4"/>
      <c r="P87" s="4"/>
      <c r="Q87" s="4"/>
      <c r="R87" s="163" t="s">
        <v>211</v>
      </c>
      <c r="S87" s="10"/>
      <c r="T87" s="10"/>
      <c r="U87" s="10"/>
      <c r="V87" s="4"/>
      <c r="W87" s="162" t="s">
        <v>213</v>
      </c>
      <c r="X87" s="10"/>
      <c r="Y87" s="10"/>
      <c r="Z87" s="10"/>
      <c r="AA87" s="10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ht="16.5" customHeight="1">
      <c r="A88" s="47" t="s">
        <v>214</v>
      </c>
      <c r="B88" s="146">
        <f>(-2*I59+6*B82)*B62/(I59*I59)</f>
        <v>7.052840951</v>
      </c>
      <c r="C88" s="49" t="s">
        <v>48</v>
      </c>
      <c r="D88" s="147" t="str">
        <f>IF(B88&lt;B5,"OK","NO")</f>
        <v>OK</v>
      </c>
      <c r="E88" s="4"/>
      <c r="F88" s="164" t="s">
        <v>215</v>
      </c>
      <c r="G88" s="165">
        <f>O88</f>
        <v>1.243391975</v>
      </c>
      <c r="H88" s="166" t="s">
        <v>216</v>
      </c>
      <c r="I88" s="167" t="s">
        <v>217</v>
      </c>
      <c r="J88" s="165">
        <f>M88</f>
        <v>0.9602202736</v>
      </c>
      <c r="K88" s="4"/>
      <c r="L88" s="168" t="s">
        <v>46</v>
      </c>
      <c r="M88" s="95">
        <f>B87</f>
        <v>0.9602202736</v>
      </c>
      <c r="N88" s="168" t="s">
        <v>218</v>
      </c>
      <c r="O88" s="112">
        <f>(B88-B87)/I59</f>
        <v>1.243391975</v>
      </c>
      <c r="P88" s="4"/>
      <c r="Q88" s="4"/>
      <c r="R88" s="47" t="s">
        <v>219</v>
      </c>
      <c r="S88" s="146">
        <f>(4*I59-6*S82)*S62/(I59*I59)</f>
        <v>1.784861216</v>
      </c>
      <c r="T88" s="49" t="s">
        <v>48</v>
      </c>
      <c r="U88" s="147" t="str">
        <f>IF(S88&lt;S85,"OK","NO")</f>
        <v>OK</v>
      </c>
      <c r="V88" s="4"/>
      <c r="W88" s="164" t="s">
        <v>220</v>
      </c>
      <c r="X88" s="165">
        <f>AF88</f>
        <v>0.9068038354</v>
      </c>
      <c r="Y88" s="166" t="s">
        <v>216</v>
      </c>
      <c r="Z88" s="167" t="s">
        <v>217</v>
      </c>
      <c r="AA88" s="165">
        <f>AD88</f>
        <v>1.784861216</v>
      </c>
      <c r="AB88" s="4"/>
      <c r="AC88" s="168" t="s">
        <v>46</v>
      </c>
      <c r="AD88" s="95">
        <f>S88</f>
        <v>1.784861216</v>
      </c>
      <c r="AE88" s="168" t="s">
        <v>218</v>
      </c>
      <c r="AF88" s="112">
        <f>(S89-S88)/I59</f>
        <v>0.9068038354</v>
      </c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ht="16.5" customHeight="1">
      <c r="A89" s="4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7" t="s">
        <v>221</v>
      </c>
      <c r="S89" s="146">
        <f>(-2*I59+6*S82)*S62/(I59*I59)</f>
        <v>6.228200009</v>
      </c>
      <c r="T89" s="49" t="s">
        <v>48</v>
      </c>
      <c r="U89" s="147" t="str">
        <f>IF(S89&lt;S85,"OK","NO")</f>
        <v>OK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ht="16.5" customHeight="1">
      <c r="A90" s="48"/>
      <c r="B90" s="92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ht="16.5" customHeight="1">
      <c r="A91" s="48" t="s">
        <v>222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8" t="s">
        <v>222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ht="16.5" customHeight="1">
      <c r="A92" s="4"/>
      <c r="B92" s="169" t="s">
        <v>223</v>
      </c>
      <c r="C92" s="10"/>
      <c r="D92" s="10"/>
      <c r="E92" s="10"/>
      <c r="F92" s="4"/>
      <c r="G92" s="169" t="s">
        <v>224</v>
      </c>
      <c r="H92" s="10"/>
      <c r="I92" s="10"/>
      <c r="J92" s="4"/>
      <c r="K92" s="4"/>
      <c r="L92" s="4"/>
      <c r="M92" s="4"/>
      <c r="N92" s="4"/>
      <c r="O92" s="4"/>
      <c r="P92" s="4"/>
      <c r="Q92" s="4"/>
      <c r="R92" s="4"/>
      <c r="S92" s="169" t="s">
        <v>223</v>
      </c>
      <c r="T92" s="10"/>
      <c r="U92" s="10"/>
      <c r="V92" s="10"/>
      <c r="W92" s="4"/>
      <c r="X92" s="169" t="s">
        <v>224</v>
      </c>
      <c r="Y92" s="10"/>
      <c r="Z92" s="10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ht="16.5" customHeight="1">
      <c r="A93" s="4"/>
      <c r="B93" s="94" t="s">
        <v>225</v>
      </c>
      <c r="C93" s="94" t="s">
        <v>226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94" t="s">
        <v>227</v>
      </c>
      <c r="T93" s="94" t="s">
        <v>228</v>
      </c>
      <c r="U93" s="4" t="s">
        <v>229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ht="16.5" customHeight="1">
      <c r="A94" s="48" t="s">
        <v>16</v>
      </c>
      <c r="B94" s="170">
        <f>B23*B29*L48*COS(D26)+C94</f>
        <v>2.794487368</v>
      </c>
      <c r="C94" s="170">
        <f>C34</f>
        <v>0.13119659</v>
      </c>
      <c r="D94" s="36"/>
      <c r="E94" s="4"/>
      <c r="F94" s="4"/>
      <c r="G94" s="94"/>
      <c r="H94" s="81" t="s">
        <v>230</v>
      </c>
      <c r="I94" s="81" t="s">
        <v>231</v>
      </c>
      <c r="J94" s="81" t="s">
        <v>232</v>
      </c>
      <c r="K94" s="4"/>
      <c r="L94" s="4"/>
      <c r="M94" s="4"/>
      <c r="N94" s="4"/>
      <c r="O94" s="4"/>
      <c r="P94" s="4"/>
      <c r="Q94" s="4"/>
      <c r="R94" s="48" t="s">
        <v>16</v>
      </c>
      <c r="S94" s="170">
        <f>B94</f>
        <v>2.794487368</v>
      </c>
      <c r="T94" s="170">
        <f>C35</f>
        <v>0.5247863602</v>
      </c>
      <c r="U94" s="171">
        <f>T37</f>
        <v>1.374974237</v>
      </c>
      <c r="V94" s="4"/>
      <c r="W94" s="4"/>
      <c r="X94" s="94"/>
      <c r="Y94" s="81" t="s">
        <v>230</v>
      </c>
      <c r="Z94" s="81" t="s">
        <v>231</v>
      </c>
      <c r="AA94" s="81" t="s">
        <v>232</v>
      </c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172" t="s">
        <v>16</v>
      </c>
      <c r="AT94" s="172" t="s">
        <v>233</v>
      </c>
      <c r="AU94" s="172" t="s">
        <v>234</v>
      </c>
      <c r="AV94" s="173" t="s">
        <v>235</v>
      </c>
      <c r="AW94" s="4"/>
      <c r="AX94" s="4"/>
      <c r="AY94" s="174" t="s">
        <v>236</v>
      </c>
      <c r="AZ94" s="4"/>
      <c r="BA94" s="4"/>
    </row>
    <row r="95" ht="16.5" customHeight="1">
      <c r="A95" s="4"/>
      <c r="B95" s="94" t="s">
        <v>237</v>
      </c>
      <c r="C95" s="94" t="s">
        <v>238</v>
      </c>
      <c r="D95" s="36"/>
      <c r="E95" s="4"/>
      <c r="F95" s="4"/>
      <c r="G95" s="70" t="s">
        <v>16</v>
      </c>
      <c r="H95" s="175">
        <f>I57</f>
        <v>0.4</v>
      </c>
      <c r="I95" s="176">
        <f>L48</f>
        <v>4</v>
      </c>
      <c r="J95" s="176">
        <f>C49+C48</f>
        <v>2.88</v>
      </c>
      <c r="K95" s="4"/>
      <c r="L95" s="4"/>
      <c r="M95" s="4"/>
      <c r="N95" s="4"/>
      <c r="O95" s="4"/>
      <c r="P95" s="4"/>
      <c r="Q95" s="4"/>
      <c r="R95" s="4"/>
      <c r="S95" s="94" t="s">
        <v>239</v>
      </c>
      <c r="T95" s="94" t="s">
        <v>240</v>
      </c>
      <c r="U95" s="36"/>
      <c r="V95" s="4"/>
      <c r="W95" s="4"/>
      <c r="X95" s="70" t="s">
        <v>16</v>
      </c>
      <c r="Y95" s="175" t="str">
        <f>Z57</f>
        <v/>
      </c>
      <c r="Z95" s="176" t="str">
        <f>AC48</f>
        <v/>
      </c>
      <c r="AA95" s="176">
        <f>T49+T48</f>
        <v>2.88</v>
      </c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105" t="s">
        <v>241</v>
      </c>
      <c r="AT95" s="177">
        <f>C94</f>
        <v>0.13119659</v>
      </c>
      <c r="AU95" s="177">
        <f>T94</f>
        <v>0.5247863602</v>
      </c>
      <c r="AV95" s="92">
        <f t="shared" ref="AV95:AV96" si="23">MAX(AT95:AU95)</f>
        <v>0.5247863602</v>
      </c>
      <c r="AW95" s="111">
        <f>HLOOKUP($H$101,AT94:AV96,2,FALSE)</f>
        <v>0.5247863602</v>
      </c>
      <c r="AX95" s="4"/>
      <c r="AY95" s="178" t="str">
        <f>BO74</f>
        <v/>
      </c>
      <c r="AZ95" s="4"/>
      <c r="BA95" s="4"/>
    </row>
    <row r="96" ht="16.5" customHeight="1">
      <c r="A96" s="48" t="s">
        <v>29</v>
      </c>
      <c r="B96" s="170">
        <f>B87</f>
        <v>0.9602202736</v>
      </c>
      <c r="C96" s="170">
        <f>G88*H58+J88</f>
        <v>5.312092186</v>
      </c>
      <c r="D96" s="36"/>
      <c r="E96" s="4"/>
      <c r="F96" s="4"/>
      <c r="G96" s="70" t="s">
        <v>29</v>
      </c>
      <c r="H96" s="175">
        <f>M55</f>
        <v>0.7</v>
      </c>
      <c r="I96" s="175">
        <f>H58</f>
        <v>3.5</v>
      </c>
      <c r="J96" s="176">
        <f>H58*M55*B22</f>
        <v>5.88</v>
      </c>
      <c r="K96" s="4"/>
      <c r="L96" s="4"/>
      <c r="M96" s="4"/>
      <c r="N96" s="4"/>
      <c r="O96" s="4"/>
      <c r="P96" s="4"/>
      <c r="Q96" s="4"/>
      <c r="R96" s="48" t="s">
        <v>29</v>
      </c>
      <c r="S96" s="170">
        <f>S88</f>
        <v>1.784861216</v>
      </c>
      <c r="T96" s="170">
        <f>X88*H58+AA88</f>
        <v>4.958674639</v>
      </c>
      <c r="U96" s="36"/>
      <c r="V96" s="4"/>
      <c r="W96" s="4"/>
      <c r="X96" s="70" t="s">
        <v>29</v>
      </c>
      <c r="Y96" s="175" t="str">
        <f>AD55</f>
        <v/>
      </c>
      <c r="Z96" s="175" t="str">
        <f>Y58</f>
        <v/>
      </c>
      <c r="AA96" s="176">
        <f>Y58*AD55*S22</f>
        <v>0</v>
      </c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105" t="s">
        <v>242</v>
      </c>
      <c r="AT96" s="177">
        <f>B94</f>
        <v>2.794487368</v>
      </c>
      <c r="AU96" s="177">
        <f>S94</f>
        <v>2.794487368</v>
      </c>
      <c r="AV96" s="92">
        <f t="shared" si="23"/>
        <v>2.794487368</v>
      </c>
      <c r="AW96" s="111">
        <f>HLOOKUP($H$101,AT94:AV96,3,FALSE)</f>
        <v>2.794487368</v>
      </c>
      <c r="AX96" s="4"/>
      <c r="AY96" s="178">
        <f>BN20-AY95*AV89</f>
        <v>0</v>
      </c>
      <c r="AZ96" s="4"/>
      <c r="BA96" s="4"/>
    </row>
    <row r="97" ht="16.5" customHeight="1">
      <c r="A97" s="4"/>
      <c r="B97" s="94" t="s">
        <v>243</v>
      </c>
      <c r="C97" s="94" t="s">
        <v>244</v>
      </c>
      <c r="D97" s="179" t="s">
        <v>245</v>
      </c>
      <c r="E97" s="4"/>
      <c r="F97" s="4"/>
      <c r="G97" s="70" t="s">
        <v>35</v>
      </c>
      <c r="H97" s="175">
        <f>M55</f>
        <v>0.7</v>
      </c>
      <c r="I97" s="175">
        <f>K58</f>
        <v>1</v>
      </c>
      <c r="J97" s="176">
        <f>M55*K58*B22</f>
        <v>1.68</v>
      </c>
      <c r="K97" s="4"/>
      <c r="L97" s="4"/>
      <c r="M97" s="4"/>
      <c r="N97" s="4"/>
      <c r="O97" s="4"/>
      <c r="P97" s="4"/>
      <c r="Q97" s="4"/>
      <c r="R97" s="4"/>
      <c r="S97" s="94" t="s">
        <v>246</v>
      </c>
      <c r="T97" s="94" t="s">
        <v>247</v>
      </c>
      <c r="U97" s="179" t="s">
        <v>245</v>
      </c>
      <c r="V97" s="4"/>
      <c r="W97" s="4"/>
      <c r="X97" s="70" t="s">
        <v>35</v>
      </c>
      <c r="Y97" s="175" t="str">
        <f>AD55</f>
        <v/>
      </c>
      <c r="Z97" s="175" t="str">
        <f>AB58</f>
        <v/>
      </c>
      <c r="AA97" s="176">
        <f>AD55*AB58*S22</f>
        <v>0</v>
      </c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172" t="s">
        <v>29</v>
      </c>
      <c r="AT97" s="172" t="s">
        <v>233</v>
      </c>
      <c r="AU97" s="172" t="s">
        <v>234</v>
      </c>
      <c r="AV97" s="173" t="s">
        <v>235</v>
      </c>
      <c r="AW97" s="180"/>
      <c r="AX97" s="4"/>
      <c r="AY97" s="178">
        <f>BN20-AY95*AV91</f>
        <v>0</v>
      </c>
      <c r="AZ97" s="4"/>
      <c r="BA97" s="4"/>
    </row>
    <row r="98" ht="16.5" customHeight="1">
      <c r="A98" s="48" t="s">
        <v>35</v>
      </c>
      <c r="B98" s="181" t="s">
        <v>248</v>
      </c>
      <c r="C98" s="182"/>
      <c r="D98" s="183" t="s">
        <v>249</v>
      </c>
      <c r="E98" s="4"/>
      <c r="F98" s="4"/>
      <c r="G98" s="70" t="s">
        <v>178</v>
      </c>
      <c r="H98" s="175">
        <f>I67</f>
        <v>0.4</v>
      </c>
      <c r="I98" s="175">
        <f>J70</f>
        <v>0</v>
      </c>
      <c r="J98" s="176">
        <f>B70</f>
        <v>0</v>
      </c>
      <c r="K98" s="4"/>
      <c r="L98" s="4"/>
      <c r="M98" s="4"/>
      <c r="N98" s="4"/>
      <c r="O98" s="4"/>
      <c r="P98" s="4"/>
      <c r="Q98" s="4"/>
      <c r="R98" s="48" t="s">
        <v>35</v>
      </c>
      <c r="S98" s="181" t="s">
        <v>250</v>
      </c>
      <c r="T98" s="182"/>
      <c r="U98" s="183" t="s">
        <v>249</v>
      </c>
      <c r="V98" s="4"/>
      <c r="W98" s="4"/>
      <c r="X98" s="70" t="s">
        <v>178</v>
      </c>
      <c r="Y98" s="175">
        <f>Z67</f>
        <v>0.4</v>
      </c>
      <c r="Z98" s="175">
        <f>AA70</f>
        <v>0</v>
      </c>
      <c r="AA98" s="176">
        <f>S70</f>
        <v>0</v>
      </c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105" t="s">
        <v>251</v>
      </c>
      <c r="AT98" s="177">
        <f>J96</f>
        <v>5.88</v>
      </c>
      <c r="AU98" s="177">
        <f>AT98</f>
        <v>5.88</v>
      </c>
      <c r="AV98" s="92">
        <f t="shared" ref="AV98:AV100" si="24">MAX(AT98:AU98)</f>
        <v>5.88</v>
      </c>
      <c r="AW98" s="111">
        <f>HLOOKUP($H$101,AT97:AV100,2,FALSE)</f>
        <v>5.88</v>
      </c>
      <c r="AX98" s="4"/>
      <c r="AY98" s="4"/>
      <c r="AZ98" s="4"/>
      <c r="BA98" s="4"/>
    </row>
    <row r="99" ht="16.5" customHeight="1">
      <c r="A99" s="4"/>
      <c r="B99" s="184">
        <f>G88*K58+J88</f>
        <v>2.203612249</v>
      </c>
      <c r="C99" s="184">
        <f>B88</f>
        <v>7.052840951</v>
      </c>
      <c r="D99" s="184">
        <f>(B44+B45+B46)*B23/K58</f>
        <v>8.52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184">
        <f>X88*K58+AA88</f>
        <v>2.691665051</v>
      </c>
      <c r="T99" s="184">
        <f>S89</f>
        <v>6.228200009</v>
      </c>
      <c r="U99" s="184">
        <f>D99</f>
        <v>8.52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105" t="s">
        <v>252</v>
      </c>
      <c r="AT99" s="177">
        <f>C96</f>
        <v>5.312092186</v>
      </c>
      <c r="AU99" s="177">
        <f>T96</f>
        <v>4.958674639</v>
      </c>
      <c r="AV99" s="92">
        <f t="shared" si="24"/>
        <v>5.312092186</v>
      </c>
      <c r="AW99" s="111">
        <f>HLOOKUP($H$101,AT97:AV100,3,FALSE)</f>
        <v>5.312092186</v>
      </c>
      <c r="AX99" s="4"/>
      <c r="AY99" s="4"/>
      <c r="AZ99" s="4"/>
      <c r="BA99" s="4"/>
    </row>
    <row r="100" ht="16.5" customHeight="1">
      <c r="A100" s="4"/>
      <c r="B100" s="94" t="s">
        <v>253</v>
      </c>
      <c r="C100" s="94" t="s">
        <v>254</v>
      </c>
      <c r="D100" s="3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94" t="s">
        <v>255</v>
      </c>
      <c r="T100" s="94" t="s">
        <v>256</v>
      </c>
      <c r="U100" s="36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105" t="s">
        <v>257</v>
      </c>
      <c r="AT100" s="177">
        <f>B96</f>
        <v>0.9602202736</v>
      </c>
      <c r="AU100" s="177">
        <f>S96</f>
        <v>1.784861216</v>
      </c>
      <c r="AV100" s="92">
        <f t="shared" si="24"/>
        <v>1.784861216</v>
      </c>
      <c r="AW100" s="111">
        <f>HLOOKUP($H$101,AT97:AV100,4,FALSE)</f>
        <v>1.784861216</v>
      </c>
      <c r="AX100" s="4"/>
      <c r="AY100" s="4"/>
      <c r="AZ100" s="4"/>
      <c r="BA100" s="4"/>
    </row>
    <row r="101" ht="16.5" customHeight="1">
      <c r="A101" s="48" t="s">
        <v>178</v>
      </c>
      <c r="B101" s="185" t="s">
        <v>258</v>
      </c>
      <c r="C101" s="182"/>
      <c r="D101" s="186"/>
      <c r="F101" s="4"/>
      <c r="G101" s="4" t="s">
        <v>259</v>
      </c>
      <c r="H101" s="124" t="s">
        <v>235</v>
      </c>
      <c r="I101" s="4"/>
      <c r="J101" s="4"/>
      <c r="K101" s="4"/>
      <c r="L101" s="4"/>
      <c r="M101" s="4"/>
      <c r="N101" s="4"/>
      <c r="O101" s="4"/>
      <c r="P101" s="4"/>
      <c r="Q101" s="4"/>
      <c r="R101" s="48" t="s">
        <v>178</v>
      </c>
      <c r="S101" s="185" t="s">
        <v>258</v>
      </c>
      <c r="T101" s="182"/>
      <c r="U101" s="186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172" t="s">
        <v>35</v>
      </c>
      <c r="AT101" s="172" t="s">
        <v>233</v>
      </c>
      <c r="AU101" s="172" t="s">
        <v>234</v>
      </c>
      <c r="AV101" s="173" t="s">
        <v>235</v>
      </c>
      <c r="AW101" s="180"/>
      <c r="AX101" s="4"/>
      <c r="AY101" s="4"/>
      <c r="AZ101" s="4"/>
      <c r="BA101" s="4"/>
    </row>
    <row r="102" ht="16.5" customHeight="1">
      <c r="A102" s="4"/>
      <c r="B102" s="184">
        <f>B23*B29*(L48+M55+J70)*COS(D26)+C94</f>
        <v>3.260563254</v>
      </c>
      <c r="C102" s="184">
        <f>B23*B29*(L48+M55)*COS(D26)+C94</f>
        <v>3.260563254</v>
      </c>
      <c r="D102" s="3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184">
        <f t="shared" ref="S102:T102" si="25">B102</f>
        <v>3.260563254</v>
      </c>
      <c r="T102" s="184">
        <f t="shared" si="25"/>
        <v>3.260563254</v>
      </c>
      <c r="U102" s="36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105" t="s">
        <v>251</v>
      </c>
      <c r="AT102" s="177">
        <f>J97</f>
        <v>1.68</v>
      </c>
      <c r="AU102" s="177">
        <f>AT102</f>
        <v>1.68</v>
      </c>
      <c r="AV102" s="92">
        <f t="shared" ref="AV102:AV103" si="26">MAX(AT102:AU102)</f>
        <v>1.68</v>
      </c>
      <c r="AW102" s="111">
        <f>HLOOKUP($H$101,AT101:AV105,2,FALSE)</f>
        <v>1.68</v>
      </c>
      <c r="AX102" s="4"/>
      <c r="AY102" s="4"/>
      <c r="AZ102" s="4"/>
      <c r="BA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94" t="s">
        <v>260</v>
      </c>
      <c r="AT103" s="92">
        <f>D99</f>
        <v>8.52</v>
      </c>
      <c r="AU103" s="92">
        <f>U99</f>
        <v>8.52</v>
      </c>
      <c r="AV103" s="92">
        <f t="shared" si="26"/>
        <v>8.52</v>
      </c>
      <c r="AW103" s="111">
        <f>HLOOKUP($H$101,AT101:AV105,3,FALSE)</f>
        <v>8.52</v>
      </c>
      <c r="AX103" s="4"/>
      <c r="AY103" s="4"/>
      <c r="AZ103" s="4"/>
      <c r="BA103" s="4"/>
    </row>
    <row r="104" ht="33.75" customHeight="1">
      <c r="A104" s="187" t="s">
        <v>261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105" t="s">
        <v>262</v>
      </c>
      <c r="AT104" s="177">
        <f>C99</f>
        <v>7.052840951</v>
      </c>
      <c r="AU104" s="177">
        <f>T99</f>
        <v>6.228200009</v>
      </c>
      <c r="AV104" s="92">
        <f>MIN(AT104:AU104)</f>
        <v>6.228200009</v>
      </c>
      <c r="AW104" s="111">
        <f>HLOOKUP($H$101,AT101:AV105,4,FALSE)</f>
        <v>6.228200009</v>
      </c>
      <c r="AX104" s="4"/>
      <c r="AY104" s="4"/>
      <c r="AZ104" s="4"/>
      <c r="BA104" s="4"/>
    </row>
    <row r="105" ht="28.5" customHeight="1">
      <c r="A105" s="188" t="s">
        <v>16</v>
      </c>
      <c r="B105" s="10"/>
      <c r="C105" s="10"/>
      <c r="D105" s="10"/>
      <c r="E105" s="10"/>
      <c r="G105" s="188" t="s">
        <v>29</v>
      </c>
      <c r="H105" s="10"/>
      <c r="I105" s="10"/>
      <c r="J105" s="10"/>
      <c r="K105" s="10"/>
      <c r="M105" s="188" t="s">
        <v>35</v>
      </c>
      <c r="N105" s="10"/>
      <c r="O105" s="10"/>
      <c r="P105" s="10"/>
      <c r="Q105" s="10"/>
      <c r="S105" s="188" t="s">
        <v>178</v>
      </c>
      <c r="T105" s="10"/>
      <c r="U105" s="10"/>
      <c r="V105" s="10"/>
      <c r="W105" s="10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105" t="s">
        <v>263</v>
      </c>
      <c r="AT105" s="177">
        <f>B99</f>
        <v>2.203612249</v>
      </c>
      <c r="AU105" s="177">
        <f>S99</f>
        <v>2.691665051</v>
      </c>
      <c r="AV105" s="92">
        <f>MAX(AT105:AU105)</f>
        <v>2.691665051</v>
      </c>
      <c r="AW105" s="111">
        <f>HLOOKUP($H$101,AT101:AV105,5,FALSE)</f>
        <v>2.691665051</v>
      </c>
      <c r="AX105" s="4"/>
      <c r="AY105" s="4"/>
      <c r="AZ105" s="4"/>
      <c r="BA105" s="4"/>
    </row>
    <row r="106" ht="16.5" customHeight="1">
      <c r="A106" s="47" t="s">
        <v>264</v>
      </c>
      <c r="B106" s="189">
        <f t="shared" ref="B106:B107" si="27">AW95</f>
        <v>0.5247863602</v>
      </c>
      <c r="C106" s="48" t="s">
        <v>265</v>
      </c>
      <c r="D106" s="4"/>
      <c r="E106" s="4"/>
      <c r="F106" s="4"/>
      <c r="G106" s="47" t="s">
        <v>251</v>
      </c>
      <c r="H106" s="189">
        <f t="shared" ref="H106:H108" si="28">AW98</f>
        <v>5.88</v>
      </c>
      <c r="I106" s="48" t="s">
        <v>265</v>
      </c>
      <c r="J106" s="4"/>
      <c r="K106" s="4"/>
      <c r="L106" s="4"/>
      <c r="M106" s="47" t="s">
        <v>251</v>
      </c>
      <c r="N106" s="189">
        <f t="shared" ref="N106:N109" si="29">AW102</f>
        <v>1.68</v>
      </c>
      <c r="O106" s="48" t="s">
        <v>265</v>
      </c>
      <c r="P106" s="4"/>
      <c r="Q106" s="4"/>
      <c r="R106" s="4"/>
      <c r="S106" s="4"/>
      <c r="T106" s="47" t="s">
        <v>266</v>
      </c>
      <c r="U106" s="189">
        <f t="shared" ref="U106:U107" si="30">AW107</f>
        <v>3.260563254</v>
      </c>
      <c r="V106" s="48" t="s">
        <v>265</v>
      </c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190">
        <f>N109-N108</f>
        <v>-3.536534958</v>
      </c>
      <c r="AM106" s="4"/>
      <c r="AN106" s="4"/>
      <c r="AO106" s="4"/>
      <c r="AP106" s="4"/>
      <c r="AQ106" s="4"/>
      <c r="AR106" s="4"/>
      <c r="AS106" s="172" t="s">
        <v>178</v>
      </c>
      <c r="AT106" s="172" t="s">
        <v>233</v>
      </c>
      <c r="AU106" s="172" t="s">
        <v>234</v>
      </c>
      <c r="AV106" s="173" t="s">
        <v>235</v>
      </c>
      <c r="AW106" s="180"/>
      <c r="AX106" s="4"/>
      <c r="AY106" s="4"/>
      <c r="AZ106" s="4"/>
      <c r="BA106" s="4"/>
    </row>
    <row r="107" ht="16.5" customHeight="1">
      <c r="A107" s="47" t="s">
        <v>267</v>
      </c>
      <c r="B107" s="189">
        <f t="shared" si="27"/>
        <v>2.794487368</v>
      </c>
      <c r="C107" s="48" t="s">
        <v>265</v>
      </c>
      <c r="D107" s="4"/>
      <c r="E107" s="4"/>
      <c r="F107" s="4"/>
      <c r="G107" s="47" t="s">
        <v>268</v>
      </c>
      <c r="H107" s="189">
        <f t="shared" si="28"/>
        <v>5.312092186</v>
      </c>
      <c r="I107" s="48" t="s">
        <v>265</v>
      </c>
      <c r="J107" s="4"/>
      <c r="K107" s="4"/>
      <c r="L107" s="4"/>
      <c r="M107" s="94" t="s">
        <v>260</v>
      </c>
      <c r="N107" s="189">
        <f t="shared" si="29"/>
        <v>8.52</v>
      </c>
      <c r="O107" s="48" t="s">
        <v>265</v>
      </c>
      <c r="P107" s="4"/>
      <c r="Q107" s="4"/>
      <c r="R107" s="4"/>
      <c r="S107" s="4"/>
      <c r="T107" s="47" t="s">
        <v>269</v>
      </c>
      <c r="U107" s="189">
        <f t="shared" si="30"/>
        <v>3.260563254</v>
      </c>
      <c r="V107" s="48" t="s">
        <v>265</v>
      </c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190">
        <f>(N110-N112)/N110</f>
        <v>0.4</v>
      </c>
      <c r="AM107" s="4"/>
      <c r="AN107" s="4"/>
      <c r="AO107" s="4"/>
      <c r="AP107" s="4"/>
      <c r="AQ107" s="4"/>
      <c r="AR107" s="4"/>
      <c r="AS107" s="105" t="s">
        <v>270</v>
      </c>
      <c r="AT107" s="177">
        <f>C102</f>
        <v>3.260563254</v>
      </c>
      <c r="AU107" s="177">
        <f>T102</f>
        <v>3.260563254</v>
      </c>
      <c r="AV107" s="92">
        <f t="shared" ref="AV107:AV108" si="31">MAX(AT107:AU107)</f>
        <v>3.260563254</v>
      </c>
      <c r="AW107" s="111">
        <f>HLOOKUP($H$101,AT106:AV108,2,FALSE)</f>
        <v>3.260563254</v>
      </c>
      <c r="AX107" s="4"/>
      <c r="AY107" s="4"/>
      <c r="AZ107" s="4"/>
      <c r="BA107" s="4"/>
    </row>
    <row r="108" ht="16.5" customHeight="1">
      <c r="A108" s="47" t="s">
        <v>65</v>
      </c>
      <c r="B108" s="125">
        <f>I95</f>
        <v>4</v>
      </c>
      <c r="C108" s="48" t="s">
        <v>42</v>
      </c>
      <c r="D108" s="4"/>
      <c r="E108" s="4"/>
      <c r="F108" s="4"/>
      <c r="G108" s="47" t="s">
        <v>271</v>
      </c>
      <c r="H108" s="189">
        <f t="shared" si="28"/>
        <v>1.784861216</v>
      </c>
      <c r="I108" s="48" t="s">
        <v>265</v>
      </c>
      <c r="J108" s="4"/>
      <c r="K108" s="4"/>
      <c r="L108" s="4"/>
      <c r="M108" s="47" t="s">
        <v>272</v>
      </c>
      <c r="N108" s="189">
        <f t="shared" si="29"/>
        <v>6.228200009</v>
      </c>
      <c r="O108" s="48" t="s">
        <v>265</v>
      </c>
      <c r="P108" s="4"/>
      <c r="Q108" s="4"/>
      <c r="R108" s="4"/>
      <c r="S108" s="4"/>
      <c r="T108" s="47" t="s">
        <v>65</v>
      </c>
      <c r="U108" s="125">
        <f>I98</f>
        <v>0</v>
      </c>
      <c r="V108" s="48" t="s">
        <v>42</v>
      </c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7" t="s">
        <v>273</v>
      </c>
      <c r="AL108" s="190">
        <f>AL106*AL107</f>
        <v>-1.414613983</v>
      </c>
      <c r="AM108" s="4"/>
      <c r="AN108" s="4"/>
      <c r="AO108" s="4"/>
      <c r="AP108" s="4"/>
      <c r="AQ108" s="4"/>
      <c r="AR108" s="4"/>
      <c r="AS108" s="105" t="s">
        <v>274</v>
      </c>
      <c r="AT108" s="177">
        <f>B102</f>
        <v>3.260563254</v>
      </c>
      <c r="AU108" s="177">
        <f>S102</f>
        <v>3.260563254</v>
      </c>
      <c r="AV108" s="92">
        <f t="shared" si="31"/>
        <v>3.260563254</v>
      </c>
      <c r="AW108" s="111">
        <f>HLOOKUP($H$101,AT106:AV108,3,FALSE)</f>
        <v>3.260563254</v>
      </c>
      <c r="AX108" s="4"/>
      <c r="AY108" s="4"/>
      <c r="AZ108" s="4"/>
      <c r="BA108" s="4"/>
    </row>
    <row r="109" ht="16.5" customHeight="1">
      <c r="A109" s="127" t="s">
        <v>275</v>
      </c>
      <c r="B109" s="4">
        <v>0.0</v>
      </c>
      <c r="C109" s="48" t="s">
        <v>42</v>
      </c>
      <c r="D109" s="127" t="s">
        <v>276</v>
      </c>
      <c r="E109" s="51">
        <f>B107-B106</f>
        <v>2.269701008</v>
      </c>
      <c r="F109" s="4"/>
      <c r="G109" s="47" t="s">
        <v>65</v>
      </c>
      <c r="H109" s="173">
        <f>I96</f>
        <v>3.5</v>
      </c>
      <c r="I109" s="48" t="s">
        <v>42</v>
      </c>
      <c r="J109" s="127" t="s">
        <v>276</v>
      </c>
      <c r="K109" s="92">
        <f>H108-H107</f>
        <v>-3.52723097</v>
      </c>
      <c r="L109" s="4"/>
      <c r="M109" s="47" t="s">
        <v>277</v>
      </c>
      <c r="N109" s="189">
        <f t="shared" si="29"/>
        <v>2.691665051</v>
      </c>
      <c r="O109" s="48" t="s">
        <v>265</v>
      </c>
      <c r="P109" s="127" t="s">
        <v>276</v>
      </c>
      <c r="Q109" s="191">
        <f>N109-N108</f>
        <v>-3.536534958</v>
      </c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192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</row>
    <row r="110" ht="16.5" customHeight="1">
      <c r="A110" s="127" t="s">
        <v>278</v>
      </c>
      <c r="B110" s="4">
        <f>E175</f>
        <v>0.3</v>
      </c>
      <c r="C110" s="48" t="s">
        <v>42</v>
      </c>
      <c r="D110" s="127" t="s">
        <v>218</v>
      </c>
      <c r="E110" s="51">
        <f>B109*E109/B108</f>
        <v>0</v>
      </c>
      <c r="F110" s="4"/>
      <c r="G110" s="127" t="s">
        <v>275</v>
      </c>
      <c r="H110" s="4">
        <v>0.0</v>
      </c>
      <c r="I110" s="48" t="s">
        <v>42</v>
      </c>
      <c r="J110" s="127" t="s">
        <v>218</v>
      </c>
      <c r="K110" s="4">
        <f>K109*H110/H109</f>
        <v>0</v>
      </c>
      <c r="L110" s="4"/>
      <c r="M110" s="47" t="s">
        <v>65</v>
      </c>
      <c r="N110" s="173">
        <f>I97</f>
        <v>1</v>
      </c>
      <c r="O110" s="48" t="s">
        <v>42</v>
      </c>
      <c r="P110" s="127" t="s">
        <v>218</v>
      </c>
      <c r="Q110" s="191">
        <f>N112*Q109/N110</f>
        <v>-2.121920975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190">
        <f>(AL106-AL108)*N112/2</f>
        <v>-0.6365762924</v>
      </c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</row>
    <row r="111" ht="16.5" customHeight="1">
      <c r="A111" s="127" t="s">
        <v>279</v>
      </c>
      <c r="B111" s="4">
        <f>B187</f>
        <v>0</v>
      </c>
      <c r="C111" s="48" t="s">
        <v>42</v>
      </c>
      <c r="D111" s="127" t="s">
        <v>46</v>
      </c>
      <c r="E111" s="51">
        <f>E109-E110</f>
        <v>2.269701008</v>
      </c>
      <c r="F111" s="4"/>
      <c r="G111" s="127" t="s">
        <v>278</v>
      </c>
      <c r="H111" s="4">
        <f>I174/100</f>
        <v>0.6</v>
      </c>
      <c r="I111" s="48" t="s">
        <v>42</v>
      </c>
      <c r="J111" s="4"/>
      <c r="K111" s="4"/>
      <c r="L111" s="4"/>
      <c r="M111" s="127" t="s">
        <v>275</v>
      </c>
      <c r="N111" s="4">
        <v>0.0</v>
      </c>
      <c r="O111" s="48" t="s">
        <v>42</v>
      </c>
      <c r="P111" s="127" t="s">
        <v>46</v>
      </c>
      <c r="Q111" s="191">
        <f>Q109-Q110</f>
        <v>-1.414613983</v>
      </c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190">
        <f>AL108*N112</f>
        <v>-0.8487683899</v>
      </c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</row>
    <row r="112" ht="16.5" customHeight="1">
      <c r="A112" s="4"/>
      <c r="B112" s="4"/>
      <c r="C112" s="4"/>
      <c r="D112" s="4"/>
      <c r="E112" s="4"/>
      <c r="F112" s="4"/>
      <c r="G112" s="127"/>
      <c r="H112" s="4"/>
      <c r="I112" s="48"/>
      <c r="J112" s="4"/>
      <c r="K112" s="4"/>
      <c r="L112" s="4"/>
      <c r="M112" s="127" t="s">
        <v>278</v>
      </c>
      <c r="N112" s="4">
        <f>O174/100</f>
        <v>0.6</v>
      </c>
      <c r="O112" s="48" t="s">
        <v>42</v>
      </c>
      <c r="P112" s="4"/>
      <c r="Q112" s="4"/>
      <c r="R112" s="4"/>
      <c r="S112" s="4"/>
      <c r="T112" s="36"/>
      <c r="U112" s="81">
        <v>1.0</v>
      </c>
      <c r="V112" s="81">
        <v>2.0</v>
      </c>
      <c r="W112" s="81" t="s">
        <v>118</v>
      </c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190">
        <f>-AL106*N110/2</f>
        <v>1.768267479</v>
      </c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127" t="s">
        <v>279</v>
      </c>
      <c r="N113" s="4">
        <f>N193</f>
        <v>0</v>
      </c>
      <c r="O113" s="48" t="s">
        <v>42</v>
      </c>
      <c r="P113" s="127" t="s">
        <v>280</v>
      </c>
      <c r="Q113" s="193">
        <f>N186</f>
        <v>0</v>
      </c>
      <c r="R113" s="4"/>
      <c r="S113" s="4"/>
      <c r="T113" s="81" t="s">
        <v>281</v>
      </c>
      <c r="U113" s="194">
        <f>U106*U108</f>
        <v>0</v>
      </c>
      <c r="V113" s="194">
        <f>(U107-U106)*U108/2</f>
        <v>0</v>
      </c>
      <c r="W113" s="194">
        <f t="shared" ref="W113:W114" si="32">SUM(U113:V113)</f>
        <v>0</v>
      </c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190">
        <f>SUM(AL110:AL112)</f>
        <v>0.2829227966</v>
      </c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</row>
    <row r="114" ht="16.5" customHeight="1">
      <c r="A114" s="36"/>
      <c r="B114" s="81">
        <v>1.0</v>
      </c>
      <c r="C114" s="81">
        <v>2.0</v>
      </c>
      <c r="D114" s="81" t="s">
        <v>118</v>
      </c>
      <c r="E114" s="174" t="s">
        <v>236</v>
      </c>
      <c r="F114" s="4"/>
      <c r="G114" s="4"/>
      <c r="H114" s="4"/>
      <c r="I114" s="4"/>
      <c r="J114" s="4"/>
      <c r="K114" s="4"/>
      <c r="L114" s="4"/>
      <c r="M114" s="4"/>
      <c r="N114" s="81">
        <v>1.0</v>
      </c>
      <c r="O114" s="81">
        <v>2.0</v>
      </c>
      <c r="P114" s="81" t="s">
        <v>118</v>
      </c>
      <c r="Q114" s="81" t="s">
        <v>232</v>
      </c>
      <c r="R114" s="81" t="s">
        <v>282</v>
      </c>
      <c r="S114" s="4"/>
      <c r="T114" s="81" t="s">
        <v>283</v>
      </c>
      <c r="U114" s="194">
        <f>U113*U108/2</f>
        <v>0</v>
      </c>
      <c r="V114" s="194">
        <f>V113*2*U108/3</f>
        <v>0</v>
      </c>
      <c r="W114" s="194">
        <f t="shared" si="32"/>
        <v>0</v>
      </c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</row>
    <row r="115" ht="16.5" customHeight="1">
      <c r="A115" s="81" t="s">
        <v>284</v>
      </c>
      <c r="B115" s="194">
        <f>B106*(B110-B108)</f>
        <v>-1.941709533</v>
      </c>
      <c r="C115" s="194">
        <f>E111*B110+E110*B110/2-E109*B108/2</f>
        <v>-3.858491713</v>
      </c>
      <c r="D115" s="194">
        <f>ABS(SUM(B115:C115))</f>
        <v>5.800201246</v>
      </c>
      <c r="E115" s="178">
        <f>IF(H101="SIN SISMO",0,U94)</f>
        <v>1.374974237</v>
      </c>
      <c r="F115" s="4"/>
      <c r="G115" s="36"/>
      <c r="H115" s="81">
        <v>1.0</v>
      </c>
      <c r="I115" s="81">
        <v>2.0</v>
      </c>
      <c r="J115" s="81" t="s">
        <v>118</v>
      </c>
      <c r="K115" s="81" t="s">
        <v>232</v>
      </c>
      <c r="L115" s="4"/>
      <c r="M115" s="195" t="s">
        <v>285</v>
      </c>
      <c r="N115" s="195">
        <f>N108*(Q113-N110)</f>
        <v>-6.228200009</v>
      </c>
      <c r="O115" s="195">
        <f>Q111*Q113+Q110*Q113/2-Q109*N110/2</f>
        <v>1.768267479</v>
      </c>
      <c r="P115" s="196">
        <f t="shared" ref="P115:P116" si="33">SUM(N115:O115)</f>
        <v>-4.45993253</v>
      </c>
      <c r="Q115" s="195">
        <f>ABS(N106*(Q113-N110))</f>
        <v>1.68</v>
      </c>
      <c r="R115" s="195">
        <f>ABS(N107*(Q113-N110))</f>
        <v>8.52</v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</row>
    <row r="116" ht="16.5" customHeight="1">
      <c r="A116" s="81" t="s">
        <v>286</v>
      </c>
      <c r="B116" s="194">
        <f>B106*(B109*B109+B108*B108-2*B108*B109)/2</f>
        <v>4.198290882</v>
      </c>
      <c r="C116" s="194">
        <f>(E111*B109*B109/2)+(E110*B109*B109/3)-(E109*B108*B109/2)+E109*B108*B108/6</f>
        <v>6.052536021</v>
      </c>
      <c r="D116" s="194">
        <f t="shared" ref="D116:D117" si="34">SUM(B116:C116)</f>
        <v>10.2508269</v>
      </c>
      <c r="E116" s="178">
        <f>IF(H101="SIN SISMO",0,T40-E115*B109)</f>
        <v>3.299938169</v>
      </c>
      <c r="F116" s="4"/>
      <c r="G116" s="81" t="s">
        <v>284</v>
      </c>
      <c r="H116" s="194">
        <f>H107*(H111-H109)</f>
        <v>-15.40506734</v>
      </c>
      <c r="I116" s="194">
        <f>(K110*H111-K109*H109)/2</f>
        <v>6.172654198</v>
      </c>
      <c r="J116" s="194">
        <f>SUM(H116:I116)</f>
        <v>-9.232413141</v>
      </c>
      <c r="K116" s="194">
        <f>ABS(H106*(H111-H109))</f>
        <v>17.052</v>
      </c>
      <c r="L116" s="4"/>
      <c r="M116" s="81" t="s">
        <v>284</v>
      </c>
      <c r="N116" s="194">
        <f>N108*(N112-N110)</f>
        <v>-2.491280004</v>
      </c>
      <c r="O116" s="194">
        <f>Q111*N112+Q110*N112/2-Q109*N110/2</f>
        <v>0.2829227966</v>
      </c>
      <c r="P116" s="194">
        <f t="shared" si="33"/>
        <v>-2.208357207</v>
      </c>
      <c r="Q116" s="194">
        <f>ABS(N106*(N112-N110))</f>
        <v>0.672</v>
      </c>
      <c r="R116" s="194">
        <f>ABS(N107*(N112-N110))</f>
        <v>3.408</v>
      </c>
      <c r="S116" s="197"/>
      <c r="T116" s="90" t="s">
        <v>287</v>
      </c>
      <c r="U116" s="92">
        <f>1.7*W114</f>
        <v>0</v>
      </c>
      <c r="V116" s="49" t="s">
        <v>132</v>
      </c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</row>
    <row r="117" ht="16.5" customHeight="1">
      <c r="A117" s="81" t="s">
        <v>288</v>
      </c>
      <c r="B117" s="194">
        <f>B106*(B111*B111+B108*B108-2*B108*B111)/2</f>
        <v>4.198290882</v>
      </c>
      <c r="C117" s="194">
        <f>(E111*B111*B111/2)+(E110*B111*B111/3)-(E109*B108*B111/2)+E109*B108*B108/6</f>
        <v>6.052536021</v>
      </c>
      <c r="D117" s="194">
        <f t="shared" si="34"/>
        <v>10.2508269</v>
      </c>
      <c r="E117" s="178">
        <f>IF(H101="SIN SISMO",0,T40-E115*B111)</f>
        <v>3.299938169</v>
      </c>
      <c r="F117" s="4"/>
      <c r="G117" s="81" t="s">
        <v>286</v>
      </c>
      <c r="H117" s="194">
        <f>H107*(H110*H110+H109*H109-2*H109*H110)/2</f>
        <v>32.53656464</v>
      </c>
      <c r="I117" s="194">
        <f>(K109*H109*H109/3)+(K110*H110*H110/6)-(K109*H109*H110/2)</f>
        <v>-14.4028598</v>
      </c>
      <c r="J117" s="194">
        <f>-SUM(H117:I117)</f>
        <v>-18.13370484</v>
      </c>
      <c r="K117" s="194">
        <f>H106*(H110*H110+H109*H109-2*H109*H110)/2</f>
        <v>36.015</v>
      </c>
      <c r="L117" s="4"/>
      <c r="M117" s="81" t="s">
        <v>286</v>
      </c>
      <c r="N117" s="194">
        <f>N108*(N111*N111+N110*N110-2*N110*N111)/2</f>
        <v>3.114100004</v>
      </c>
      <c r="O117" s="194">
        <f>(Q111*N111*N111/2)+(Q110*N111*N111/3)-(Q109*N110*N111/2)+Q109*N110*N110/6</f>
        <v>-0.589422493</v>
      </c>
      <c r="P117" s="194">
        <f t="shared" ref="P117:P118" si="35">-SUM(N117:O117)</f>
        <v>-2.524677511</v>
      </c>
      <c r="Q117" s="194">
        <f>N106*(N111*N111+N110*N110-2*N110*N111)/2</f>
        <v>0.84</v>
      </c>
      <c r="R117" s="194">
        <f>N107*(N111*N111+N110*N110-2*N110*N111)/2</f>
        <v>4.26</v>
      </c>
      <c r="S117" s="197"/>
      <c r="T117" s="90" t="s">
        <v>289</v>
      </c>
      <c r="U117" s="92">
        <f>1.7*W113</f>
        <v>0</v>
      </c>
      <c r="V117" s="49" t="s">
        <v>116</v>
      </c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81" t="s">
        <v>288</v>
      </c>
      <c r="N118" s="194">
        <f>N108*(N113*N113+N110*N110-2*N110*N113)/2</f>
        <v>3.114100004</v>
      </c>
      <c r="O118" s="194">
        <f>(Q111*N113*N113/2)+(Q110*N113*N113/3)-(Q109*N110*N113/2)+Q109*N110*N110/6</f>
        <v>-0.589422493</v>
      </c>
      <c r="P118" s="198">
        <f t="shared" si="35"/>
        <v>-2.524677511</v>
      </c>
      <c r="Q118" s="194">
        <f>N106*(N113*N113+N110*N110-2*N110*N113)/2</f>
        <v>0.84</v>
      </c>
      <c r="R118" s="194">
        <f>N107*(N113*N113+N110*N110-2*N110*N113)/2</f>
        <v>4.26</v>
      </c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 ht="16.5" customHeight="1">
      <c r="A119" s="90" t="s">
        <v>287</v>
      </c>
      <c r="B119" s="92">
        <f>1.7*D116+E116</f>
        <v>20.7263439</v>
      </c>
      <c r="C119" s="49" t="s">
        <v>132</v>
      </c>
      <c r="D119" s="4"/>
      <c r="E119" s="4"/>
      <c r="F119" s="4"/>
      <c r="G119" s="90" t="s">
        <v>287</v>
      </c>
      <c r="H119" s="92">
        <f>ABS(1.7*J117-1.4*K117)</f>
        <v>81.24829823</v>
      </c>
      <c r="I119" s="49" t="s">
        <v>132</v>
      </c>
      <c r="J119" s="4"/>
      <c r="K119" s="4"/>
      <c r="L119" s="4"/>
      <c r="M119" s="90" t="s">
        <v>287</v>
      </c>
      <c r="N119" s="92">
        <f>1.7*P117+1.4*Q117+1.7*R117</f>
        <v>4.126048231</v>
      </c>
      <c r="O119" s="49" t="s">
        <v>132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</row>
    <row r="120" ht="16.5" customHeight="1">
      <c r="A120" s="90" t="s">
        <v>289</v>
      </c>
      <c r="B120" s="92">
        <f>1.7*D115+E115</f>
        <v>11.23531636</v>
      </c>
      <c r="C120" s="49" t="s">
        <v>116</v>
      </c>
      <c r="D120" s="4"/>
      <c r="E120" s="4"/>
      <c r="F120" s="4"/>
      <c r="G120" s="90" t="s">
        <v>289</v>
      </c>
      <c r="H120" s="92">
        <f>ABS(1.7*J116+-1.4*K116)</f>
        <v>39.56790234</v>
      </c>
      <c r="I120" s="49" t="s">
        <v>116</v>
      </c>
      <c r="J120" s="4"/>
      <c r="K120" s="4"/>
      <c r="L120" s="4"/>
      <c r="M120" s="90" t="s">
        <v>289</v>
      </c>
      <c r="N120" s="92">
        <f>1.7*P116+1.4*Q116+1.7*R116</f>
        <v>2.980192748</v>
      </c>
      <c r="O120" s="49" t="s">
        <v>116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 ht="27.0" customHeight="1">
      <c r="A121" s="187" t="s">
        <v>290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</row>
    <row r="122" ht="31.5" customHeight="1">
      <c r="A122" s="188" t="s">
        <v>16</v>
      </c>
      <c r="B122" s="10"/>
      <c r="C122" s="10"/>
      <c r="D122" s="10"/>
      <c r="E122" s="10"/>
      <c r="G122" s="188" t="s">
        <v>29</v>
      </c>
      <c r="H122" s="10"/>
      <c r="I122" s="10"/>
      <c r="J122" s="10"/>
      <c r="K122" s="10"/>
      <c r="M122" s="188" t="s">
        <v>35</v>
      </c>
      <c r="N122" s="10"/>
      <c r="O122" s="10"/>
      <c r="P122" s="10"/>
      <c r="Q122" s="10"/>
      <c r="S122" s="188" t="s">
        <v>178</v>
      </c>
      <c r="T122" s="10"/>
      <c r="U122" s="10"/>
      <c r="V122" s="10"/>
      <c r="W122" s="10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 ht="16.5" customHeight="1">
      <c r="A123" s="6" t="s">
        <v>36</v>
      </c>
      <c r="B123" s="4"/>
      <c r="C123" s="4"/>
      <c r="D123" s="4"/>
      <c r="E123" s="4"/>
      <c r="G123" s="6" t="s">
        <v>36</v>
      </c>
      <c r="H123" s="4"/>
      <c r="I123" s="4"/>
      <c r="J123" s="4"/>
      <c r="K123" s="4"/>
      <c r="M123" s="6" t="s">
        <v>36</v>
      </c>
      <c r="N123" s="4"/>
      <c r="O123" s="4"/>
      <c r="P123" s="4"/>
      <c r="Q123" s="4"/>
      <c r="S123" s="6" t="s">
        <v>36</v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</row>
    <row r="124" ht="16.5" customHeight="1">
      <c r="A124" s="47" t="s">
        <v>287</v>
      </c>
      <c r="B124" s="137">
        <f t="shared" ref="B124:B125" si="36">B119</f>
        <v>20.7263439</v>
      </c>
      <c r="C124" s="129" t="s">
        <v>291</v>
      </c>
      <c r="D124" s="4"/>
      <c r="E124" s="4"/>
      <c r="F124" s="4"/>
      <c r="G124" s="47" t="s">
        <v>287</v>
      </c>
      <c r="H124" s="137">
        <f t="shared" ref="H124:H125" si="37">H119</f>
        <v>81.24829823</v>
      </c>
      <c r="I124" s="129" t="s">
        <v>291</v>
      </c>
      <c r="J124" s="4"/>
      <c r="K124" s="4"/>
      <c r="L124" s="4"/>
      <c r="M124" s="47" t="s">
        <v>287</v>
      </c>
      <c r="N124" s="137">
        <f t="shared" ref="N124:N125" si="38">N119</f>
        <v>4.126048231</v>
      </c>
      <c r="O124" s="129" t="s">
        <v>291</v>
      </c>
      <c r="P124" s="4"/>
      <c r="Q124" s="4"/>
      <c r="R124" s="4"/>
      <c r="S124" s="47" t="s">
        <v>287</v>
      </c>
      <c r="T124" s="137">
        <f t="shared" ref="T124:T125" si="39">U116</f>
        <v>0</v>
      </c>
      <c r="U124" s="129" t="s">
        <v>291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</row>
    <row r="125" ht="16.5" customHeight="1">
      <c r="A125" s="47" t="s">
        <v>289</v>
      </c>
      <c r="B125" s="137">
        <f t="shared" si="36"/>
        <v>11.23531636</v>
      </c>
      <c r="C125" s="129" t="s">
        <v>292</v>
      </c>
      <c r="D125" s="4"/>
      <c r="E125" s="4"/>
      <c r="F125" s="4"/>
      <c r="G125" s="47" t="s">
        <v>289</v>
      </c>
      <c r="H125" s="137">
        <f t="shared" si="37"/>
        <v>39.56790234</v>
      </c>
      <c r="I125" s="129" t="s">
        <v>292</v>
      </c>
      <c r="J125" s="4"/>
      <c r="K125" s="4"/>
      <c r="L125" s="4"/>
      <c r="M125" s="47" t="s">
        <v>289</v>
      </c>
      <c r="N125" s="137">
        <f t="shared" si="38"/>
        <v>2.980192748</v>
      </c>
      <c r="O125" s="129" t="s">
        <v>292</v>
      </c>
      <c r="P125" s="4"/>
      <c r="Q125" s="4"/>
      <c r="R125" s="4"/>
      <c r="S125" s="47" t="s">
        <v>289</v>
      </c>
      <c r="T125" s="137">
        <f t="shared" si="39"/>
        <v>0</v>
      </c>
      <c r="U125" s="129" t="s">
        <v>292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 ht="16.5" customHeight="1">
      <c r="A126" s="47" t="s">
        <v>293</v>
      </c>
      <c r="B126" s="199">
        <v>4200.0</v>
      </c>
      <c r="C126" s="129" t="s">
        <v>294</v>
      </c>
      <c r="D126" s="4"/>
      <c r="E126" s="4"/>
      <c r="G126" s="47" t="s">
        <v>293</v>
      </c>
      <c r="H126" s="48">
        <f t="shared" ref="H126:H127" si="40">B126</f>
        <v>4200</v>
      </c>
      <c r="I126" s="129" t="s">
        <v>294</v>
      </c>
      <c r="J126" s="4"/>
      <c r="K126" s="4"/>
      <c r="M126" s="47" t="s">
        <v>293</v>
      </c>
      <c r="N126" s="48">
        <f t="shared" ref="N126:N127" si="41">H126</f>
        <v>4200</v>
      </c>
      <c r="O126" s="129" t="s">
        <v>294</v>
      </c>
      <c r="P126" s="4"/>
      <c r="Q126" s="4"/>
      <c r="S126" s="47" t="s">
        <v>293</v>
      </c>
      <c r="T126" s="48">
        <f t="shared" ref="T126:T127" si="42">N126</f>
        <v>4200</v>
      </c>
      <c r="U126" s="129" t="s">
        <v>294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</row>
    <row r="127" ht="16.5" customHeight="1">
      <c r="A127" s="47" t="s">
        <v>295</v>
      </c>
      <c r="B127" s="199">
        <v>210.0</v>
      </c>
      <c r="C127" s="129" t="s">
        <v>294</v>
      </c>
      <c r="D127" s="4"/>
      <c r="E127" s="4"/>
      <c r="G127" s="47" t="s">
        <v>295</v>
      </c>
      <c r="H127" s="48">
        <f t="shared" si="40"/>
        <v>210</v>
      </c>
      <c r="I127" s="129" t="s">
        <v>294</v>
      </c>
      <c r="J127" s="4"/>
      <c r="K127" s="4"/>
      <c r="M127" s="47" t="s">
        <v>295</v>
      </c>
      <c r="N127" s="48">
        <f t="shared" si="41"/>
        <v>210</v>
      </c>
      <c r="O127" s="129" t="s">
        <v>294</v>
      </c>
      <c r="P127" s="4"/>
      <c r="Q127" s="4"/>
      <c r="S127" s="47" t="s">
        <v>295</v>
      </c>
      <c r="T127" s="48">
        <f t="shared" si="42"/>
        <v>210</v>
      </c>
      <c r="U127" s="129" t="s">
        <v>294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</row>
    <row r="128" ht="16.5" customHeight="1">
      <c r="A128" s="47" t="s">
        <v>46</v>
      </c>
      <c r="B128" s="47">
        <v>100.0</v>
      </c>
      <c r="C128" s="129" t="s">
        <v>74</v>
      </c>
      <c r="D128" s="4"/>
      <c r="E128" s="4"/>
      <c r="G128" s="47" t="s">
        <v>46</v>
      </c>
      <c r="H128" s="48">
        <v>100.0</v>
      </c>
      <c r="I128" s="129" t="s">
        <v>74</v>
      </c>
      <c r="J128" s="4"/>
      <c r="K128" s="4"/>
      <c r="M128" s="47" t="s">
        <v>46</v>
      </c>
      <c r="N128" s="48">
        <v>100.0</v>
      </c>
      <c r="O128" s="129" t="s">
        <v>74</v>
      </c>
      <c r="P128" s="4"/>
      <c r="Q128" s="4"/>
      <c r="S128" s="47" t="s">
        <v>46</v>
      </c>
      <c r="T128" s="48">
        <v>100.0</v>
      </c>
      <c r="U128" s="129" t="s">
        <v>74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</row>
    <row r="129" ht="16.5" customHeight="1">
      <c r="A129" s="47" t="s">
        <v>296</v>
      </c>
      <c r="B129" s="47">
        <f>H95*100</f>
        <v>40</v>
      </c>
      <c r="C129" s="129" t="s">
        <v>74</v>
      </c>
      <c r="D129" s="4"/>
      <c r="E129" s="4"/>
      <c r="G129" s="47" t="s">
        <v>296</v>
      </c>
      <c r="H129" s="47">
        <f>H96*100</f>
        <v>70</v>
      </c>
      <c r="I129" s="129" t="s">
        <v>74</v>
      </c>
      <c r="J129" s="4"/>
      <c r="K129" s="4"/>
      <c r="M129" s="47" t="s">
        <v>296</v>
      </c>
      <c r="N129" s="47">
        <f>H97*100</f>
        <v>70</v>
      </c>
      <c r="O129" s="129" t="s">
        <v>74</v>
      </c>
      <c r="P129" s="4"/>
      <c r="Q129" s="4"/>
      <c r="S129" s="47" t="s">
        <v>296</v>
      </c>
      <c r="T129" s="47">
        <f>H98*100</f>
        <v>40</v>
      </c>
      <c r="U129" s="129" t="s">
        <v>74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</row>
    <row r="130" ht="16.5" customHeight="1">
      <c r="A130" s="47" t="s">
        <v>99</v>
      </c>
      <c r="B130" s="200">
        <f>B129-4</f>
        <v>36</v>
      </c>
      <c r="C130" s="129" t="s">
        <v>74</v>
      </c>
      <c r="D130" s="201"/>
      <c r="E130" s="4"/>
      <c r="G130" s="47" t="s">
        <v>99</v>
      </c>
      <c r="H130" s="202">
        <f>H129-10</f>
        <v>60</v>
      </c>
      <c r="I130" s="129" t="s">
        <v>74</v>
      </c>
      <c r="J130" s="4"/>
      <c r="K130" s="4"/>
      <c r="M130" s="47" t="s">
        <v>99</v>
      </c>
      <c r="N130" s="202">
        <f>N129-10</f>
        <v>60</v>
      </c>
      <c r="O130" s="129" t="s">
        <v>74</v>
      </c>
      <c r="P130" s="4"/>
      <c r="Q130" s="4"/>
      <c r="S130" s="47" t="s">
        <v>99</v>
      </c>
      <c r="T130" s="202">
        <f>T129-10</f>
        <v>30</v>
      </c>
      <c r="U130" s="129" t="s">
        <v>74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</row>
    <row r="131" ht="16.5" customHeight="1">
      <c r="A131" s="47" t="s">
        <v>287</v>
      </c>
      <c r="B131" s="203">
        <f>B124*100000</f>
        <v>2072634.39</v>
      </c>
      <c r="C131" s="129" t="s">
        <v>297</v>
      </c>
      <c r="D131" s="4"/>
      <c r="E131" s="4"/>
      <c r="G131" s="47" t="s">
        <v>287</v>
      </c>
      <c r="H131" s="203">
        <f>H124*100000</f>
        <v>8124829.823</v>
      </c>
      <c r="I131" s="129" t="s">
        <v>297</v>
      </c>
      <c r="J131" s="4"/>
      <c r="K131" s="4"/>
      <c r="M131" s="47" t="s">
        <v>287</v>
      </c>
      <c r="N131" s="203">
        <f>N124*100000</f>
        <v>412604.8231</v>
      </c>
      <c r="O131" s="129" t="s">
        <v>297</v>
      </c>
      <c r="P131" s="4"/>
      <c r="Q131" s="4"/>
      <c r="S131" s="47" t="s">
        <v>287</v>
      </c>
      <c r="T131" s="204">
        <f>T124*100000</f>
        <v>0</v>
      </c>
      <c r="U131" s="129" t="s">
        <v>297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</row>
    <row r="133" ht="16.5" customHeight="1">
      <c r="A133" s="205" t="s">
        <v>298</v>
      </c>
      <c r="B133" s="206"/>
      <c r="C133" s="207"/>
      <c r="D133" s="207"/>
      <c r="E133" s="207"/>
      <c r="F133" s="208"/>
      <c r="G133" s="205" t="s">
        <v>298</v>
      </c>
      <c r="H133" s="206"/>
      <c r="I133" s="207"/>
      <c r="J133" s="207"/>
      <c r="K133" s="207"/>
      <c r="L133" s="208"/>
      <c r="M133" s="205" t="s">
        <v>298</v>
      </c>
      <c r="N133" s="206"/>
      <c r="O133" s="207"/>
      <c r="P133" s="207"/>
      <c r="Q133" s="207"/>
      <c r="R133" s="208"/>
      <c r="S133" s="205" t="s">
        <v>298</v>
      </c>
      <c r="T133" s="206"/>
      <c r="U133" s="207"/>
      <c r="V133" s="207"/>
      <c r="W133" s="207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</row>
    <row r="134" ht="16.5" customHeight="1">
      <c r="A134" s="209" t="s">
        <v>299</v>
      </c>
      <c r="E134" s="4"/>
      <c r="G134" s="209" t="s">
        <v>299</v>
      </c>
      <c r="K134" s="4"/>
      <c r="M134" s="209" t="s">
        <v>299</v>
      </c>
      <c r="Q134" s="4"/>
      <c r="S134" s="209" t="s">
        <v>299</v>
      </c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</row>
    <row r="135" ht="19.5" customHeight="1">
      <c r="A135" s="4"/>
      <c r="B135" s="55" t="s">
        <v>300</v>
      </c>
      <c r="C135" s="107" t="s">
        <v>301</v>
      </c>
      <c r="D135" s="4"/>
      <c r="E135" s="4"/>
      <c r="G135" s="4"/>
      <c r="H135" s="55" t="s">
        <v>300</v>
      </c>
      <c r="I135" s="107" t="s">
        <v>301</v>
      </c>
      <c r="J135" s="4"/>
      <c r="K135" s="4"/>
      <c r="M135" s="4"/>
      <c r="N135" s="55" t="s">
        <v>300</v>
      </c>
      <c r="O135" s="107" t="s">
        <v>301</v>
      </c>
      <c r="P135" s="4"/>
      <c r="Q135" s="4"/>
      <c r="S135" s="4"/>
      <c r="T135" s="55" t="s">
        <v>300</v>
      </c>
      <c r="U135" s="107" t="s">
        <v>301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</row>
    <row r="136" ht="18.75" customHeight="1">
      <c r="A136" s="2" t="s">
        <v>302</v>
      </c>
      <c r="B136" s="210">
        <v>0.002</v>
      </c>
      <c r="C136" s="211">
        <f>B136*B128*B130</f>
        <v>7.2</v>
      </c>
      <c r="D136" s="212" t="s">
        <v>303</v>
      </c>
      <c r="E136" s="4"/>
      <c r="G136" s="2" t="s">
        <v>304</v>
      </c>
      <c r="H136" s="210">
        <v>0.002</v>
      </c>
      <c r="I136" s="211">
        <f>H136*H128*H130</f>
        <v>12</v>
      </c>
      <c r="J136" s="212" t="s">
        <v>303</v>
      </c>
      <c r="K136" s="4"/>
      <c r="M136" s="2" t="s">
        <v>305</v>
      </c>
      <c r="N136" s="210">
        <v>0.002</v>
      </c>
      <c r="O136" s="211">
        <f>N136*N128*N130</f>
        <v>12</v>
      </c>
      <c r="P136" s="212" t="s">
        <v>303</v>
      </c>
      <c r="Q136" s="4"/>
      <c r="S136" s="2" t="s">
        <v>306</v>
      </c>
      <c r="T136" s="210">
        <v>0.002</v>
      </c>
      <c r="U136" s="211">
        <f>T136*T128*T130</f>
        <v>6</v>
      </c>
      <c r="V136" s="212" t="s">
        <v>303</v>
      </c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</row>
    <row r="137" ht="18.75" customHeight="1">
      <c r="A137" s="2" t="s">
        <v>307</v>
      </c>
      <c r="B137" s="210">
        <v>0.0018</v>
      </c>
      <c r="C137" s="211">
        <f>B137*B128*B130</f>
        <v>6.48</v>
      </c>
      <c r="D137" s="212" t="s">
        <v>303</v>
      </c>
      <c r="E137" s="107"/>
      <c r="G137" s="2" t="s">
        <v>308</v>
      </c>
      <c r="H137" s="210">
        <f>B137</f>
        <v>0.0018</v>
      </c>
      <c r="I137" s="211">
        <f>H137*H128*H130</f>
        <v>10.8</v>
      </c>
      <c r="J137" s="212" t="s">
        <v>303</v>
      </c>
      <c r="K137" s="107"/>
      <c r="M137" s="2" t="s">
        <v>309</v>
      </c>
      <c r="N137" s="210">
        <f>H137</f>
        <v>0.0018</v>
      </c>
      <c r="O137" s="211">
        <f>N137*N128*N130</f>
        <v>10.8</v>
      </c>
      <c r="P137" s="212" t="s">
        <v>303</v>
      </c>
      <c r="Q137" s="107"/>
      <c r="S137" s="2" t="s">
        <v>310</v>
      </c>
      <c r="T137" s="210">
        <f>N137</f>
        <v>0.0018</v>
      </c>
      <c r="U137" s="211">
        <f>T137*T128*T130</f>
        <v>5.4</v>
      </c>
      <c r="V137" s="212" t="s">
        <v>303</v>
      </c>
      <c r="W137" s="107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</row>
    <row r="138" ht="31.5" customHeight="1">
      <c r="A138" s="213"/>
      <c r="B138" s="213"/>
      <c r="C138" s="213"/>
      <c r="D138" s="213"/>
      <c r="E138" s="214"/>
      <c r="G138" s="213"/>
      <c r="H138" s="213"/>
      <c r="I138" s="213"/>
      <c r="J138" s="213"/>
      <c r="K138" s="214"/>
      <c r="M138" s="213"/>
      <c r="N138" s="213"/>
      <c r="O138" s="213"/>
      <c r="P138" s="213"/>
      <c r="Q138" s="214"/>
      <c r="S138" s="213"/>
      <c r="T138" s="213"/>
      <c r="U138" s="213"/>
      <c r="V138" s="213"/>
      <c r="W138" s="21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</row>
    <row r="139" ht="18.75" customHeight="1">
      <c r="A139" s="50" t="s">
        <v>311</v>
      </c>
      <c r="G139" s="50" t="s">
        <v>311</v>
      </c>
      <c r="M139" s="50" t="s">
        <v>311</v>
      </c>
      <c r="S139" s="50" t="s">
        <v>311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</row>
    <row r="140" ht="18.75" customHeight="1">
      <c r="A140" s="4"/>
      <c r="B140" s="4"/>
      <c r="C140" s="4"/>
      <c r="D140" s="4"/>
      <c r="E140" s="4"/>
      <c r="G140" s="4"/>
      <c r="H140" s="4"/>
      <c r="I140" s="4"/>
      <c r="J140" s="4"/>
      <c r="K140" s="4"/>
      <c r="M140" s="4"/>
      <c r="N140" s="4"/>
      <c r="O140" s="4"/>
      <c r="P140" s="4"/>
      <c r="Q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</row>
    <row r="141" ht="18.75" customHeight="1">
      <c r="A141" s="107" t="s">
        <v>218</v>
      </c>
      <c r="B141" s="215">
        <f>B130-POWER(POWER(B130,2)-2*B131/(0.85*0.9*B127*B128),0.5)</f>
        <v>3.782474454</v>
      </c>
      <c r="C141" s="129" t="s">
        <v>74</v>
      </c>
      <c r="D141" s="216" t="s">
        <v>312</v>
      </c>
      <c r="G141" s="107" t="s">
        <v>218</v>
      </c>
      <c r="H141" s="215">
        <f>H130-POWER(POWER(H130,2)-2*H131/(0.85*0.9*H127*H128),0.5)</f>
        <v>9.122642869</v>
      </c>
      <c r="I141" s="129" t="s">
        <v>74</v>
      </c>
      <c r="J141" s="216" t="s">
        <v>312</v>
      </c>
      <c r="M141" s="107" t="s">
        <v>218</v>
      </c>
      <c r="N141" s="215">
        <f>N130-POWER(POWER(N130,2)-2*N131/(0.85*0.9*N127*N128),0.5)</f>
        <v>0.4295956431</v>
      </c>
      <c r="O141" s="129" t="s">
        <v>74</v>
      </c>
      <c r="P141" s="216" t="s">
        <v>312</v>
      </c>
      <c r="S141" s="107" t="s">
        <v>218</v>
      </c>
      <c r="T141" s="215">
        <f>T130-POWER(POWER(T130,2)-2*T131/(0.85*0.9*T127*T128),0.5)</f>
        <v>0</v>
      </c>
      <c r="U141" s="129" t="s">
        <v>74</v>
      </c>
      <c r="V141" s="216" t="s">
        <v>312</v>
      </c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</row>
    <row r="142" ht="18.75" customHeight="1">
      <c r="A142" s="107" t="s">
        <v>313</v>
      </c>
      <c r="B142" s="215">
        <f>B131/(0.9*B126*(B130-B141/2))</f>
        <v>16.07551643</v>
      </c>
      <c r="C142" s="129" t="s">
        <v>303</v>
      </c>
      <c r="D142" s="47" t="s">
        <v>314</v>
      </c>
      <c r="E142" s="217" t="str">
        <f>IF(B142&gt;C137,"OK","NO")</f>
        <v>OK</v>
      </c>
      <c r="F142" s="100" t="s">
        <v>315</v>
      </c>
      <c r="G142" s="107" t="s">
        <v>313</v>
      </c>
      <c r="H142" s="215">
        <f>H131/(0.9*H126*(H130-H141/2))</f>
        <v>38.77123219</v>
      </c>
      <c r="I142" s="129" t="s">
        <v>303</v>
      </c>
      <c r="J142" s="47" t="s">
        <v>314</v>
      </c>
      <c r="K142" s="217" t="str">
        <f>IF(H142&gt;I136,"OK","NO")</f>
        <v>OK</v>
      </c>
      <c r="M142" s="107" t="s">
        <v>313</v>
      </c>
      <c r="N142" s="215">
        <f>N131/(0.9*N126*(N130-N141/2))</f>
        <v>1.825781483</v>
      </c>
      <c r="O142" s="129" t="s">
        <v>303</v>
      </c>
      <c r="P142" s="47" t="s">
        <v>314</v>
      </c>
      <c r="Q142" s="217" t="str">
        <f>IF(N142&gt;O137,"OK","NO")</f>
        <v>NO</v>
      </c>
      <c r="S142" s="107" t="s">
        <v>313</v>
      </c>
      <c r="T142" s="215">
        <f>T131/(0.9*T126*(T130-T141/2))</f>
        <v>0</v>
      </c>
      <c r="U142" s="129" t="s">
        <v>303</v>
      </c>
      <c r="V142" s="47" t="s">
        <v>314</v>
      </c>
      <c r="W142" s="217" t="str">
        <f>IF(T142&gt;U137,"OK","NO")</f>
        <v>NO</v>
      </c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 ht="18.75" customHeight="1">
      <c r="A143" s="4"/>
      <c r="B143" s="4"/>
      <c r="C143" s="47" t="s">
        <v>313</v>
      </c>
      <c r="D143" s="218">
        <f>MAX(B142,C137)</f>
        <v>16.07551643</v>
      </c>
      <c r="E143" s="129" t="s">
        <v>303</v>
      </c>
      <c r="G143" s="4"/>
      <c r="H143" s="4"/>
      <c r="I143" s="47" t="s">
        <v>313</v>
      </c>
      <c r="J143" s="218">
        <f>MAX(H142,I136)</f>
        <v>38.77123219</v>
      </c>
      <c r="K143" s="129" t="s">
        <v>303</v>
      </c>
      <c r="M143" s="4"/>
      <c r="N143" s="4"/>
      <c r="O143" s="47" t="s">
        <v>313</v>
      </c>
      <c r="P143" s="218">
        <f>MAX(N142,O136)</f>
        <v>12</v>
      </c>
      <c r="Q143" s="129" t="s">
        <v>303</v>
      </c>
      <c r="S143" s="4"/>
      <c r="T143" s="4"/>
      <c r="U143" s="47" t="s">
        <v>313</v>
      </c>
      <c r="V143" s="218">
        <f>MAX(T142,U136)</f>
        <v>6</v>
      </c>
      <c r="W143" s="129" t="s">
        <v>303</v>
      </c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</row>
    <row r="144" ht="16.5" customHeight="1">
      <c r="A144" s="219"/>
      <c r="B144" s="219"/>
      <c r="C144" s="219"/>
      <c r="D144" s="219"/>
      <c r="E144" s="219"/>
      <c r="G144" s="219"/>
      <c r="H144" s="219"/>
      <c r="I144" s="219"/>
      <c r="J144" s="219"/>
      <c r="K144" s="219"/>
      <c r="M144" s="219"/>
      <c r="N144" s="219"/>
      <c r="O144" s="219"/>
      <c r="P144" s="219"/>
      <c r="Q144" s="219"/>
      <c r="S144" s="219"/>
      <c r="T144" s="219"/>
      <c r="U144" s="219"/>
      <c r="V144" s="219"/>
      <c r="W144" s="219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</row>
    <row r="145" ht="16.5" customHeight="1">
      <c r="A145" s="220" t="s">
        <v>316</v>
      </c>
      <c r="G145" s="220" t="s">
        <v>316</v>
      </c>
      <c r="M145" s="220" t="s">
        <v>317</v>
      </c>
      <c r="S145" s="220" t="s">
        <v>317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</row>
    <row r="146" ht="16.5" customHeight="1">
      <c r="A146" s="105" t="s">
        <v>318</v>
      </c>
      <c r="C146" s="29" t="s">
        <v>319</v>
      </c>
      <c r="D146" s="4"/>
      <c r="E146" s="4"/>
      <c r="G146" s="105" t="s">
        <v>318</v>
      </c>
      <c r="I146" s="29" t="s">
        <v>320</v>
      </c>
      <c r="J146" s="4"/>
      <c r="K146" s="4"/>
      <c r="M146" s="105" t="s">
        <v>318</v>
      </c>
      <c r="O146" s="29" t="s">
        <v>321</v>
      </c>
      <c r="P146" s="4"/>
      <c r="Q146" s="4"/>
      <c r="S146" s="105" t="s">
        <v>318</v>
      </c>
      <c r="U146" s="29" t="s">
        <v>320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</row>
    <row r="147" ht="16.5" customHeight="1">
      <c r="A147" s="112"/>
      <c r="B147" s="47" t="s">
        <v>322</v>
      </c>
      <c r="C147" s="221">
        <v>2.0</v>
      </c>
      <c r="D147" s="129" t="s">
        <v>323</v>
      </c>
      <c r="E147" s="4"/>
      <c r="G147" s="112"/>
      <c r="H147" s="47" t="s">
        <v>322</v>
      </c>
      <c r="I147" s="221">
        <v>1.0</v>
      </c>
      <c r="J147" s="129" t="s">
        <v>323</v>
      </c>
      <c r="K147" s="4"/>
      <c r="M147" s="112"/>
      <c r="N147" s="47" t="s">
        <v>322</v>
      </c>
      <c r="O147" s="221">
        <v>1.0</v>
      </c>
      <c r="P147" s="129" t="s">
        <v>323</v>
      </c>
      <c r="Q147" s="4"/>
      <c r="S147" s="112"/>
      <c r="T147" s="47" t="s">
        <v>322</v>
      </c>
      <c r="U147" s="221">
        <v>1.0</v>
      </c>
      <c r="V147" s="129" t="s">
        <v>323</v>
      </c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</row>
    <row r="148" ht="16.5" customHeight="1">
      <c r="A148" s="4"/>
      <c r="B148" s="47" t="s">
        <v>313</v>
      </c>
      <c r="C148" s="48">
        <f>VLOOKUP(C146,AH184:AI192,2,FALSE)*C147</f>
        <v>10.14</v>
      </c>
      <c r="D148" s="129" t="s">
        <v>303</v>
      </c>
      <c r="E148" s="4"/>
      <c r="G148" s="4"/>
      <c r="H148" s="47" t="s">
        <v>313</v>
      </c>
      <c r="I148" s="48">
        <f>VLOOKUP(I146,AN184:AO192,2,FALSE)*I147</f>
        <v>2.85</v>
      </c>
      <c r="J148" s="129" t="s">
        <v>303</v>
      </c>
      <c r="K148" s="4"/>
      <c r="M148" s="4"/>
      <c r="N148" s="47" t="s">
        <v>313</v>
      </c>
      <c r="O148" s="48">
        <f>VLOOKUP(O146,AT184:AU192,2,FALSE)*O147</f>
        <v>2</v>
      </c>
      <c r="P148" s="129" t="s">
        <v>303</v>
      </c>
      <c r="Q148" s="4"/>
      <c r="S148" s="4"/>
      <c r="T148" s="47" t="s">
        <v>313</v>
      </c>
      <c r="U148" s="48">
        <f>VLOOKUP(U146,AZ184:BA192,2,FALSE)*U147</f>
        <v>2.85</v>
      </c>
      <c r="V148" s="129" t="s">
        <v>303</v>
      </c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</row>
    <row r="149" ht="16.5" customHeight="1">
      <c r="A149" s="4"/>
      <c r="B149" s="4"/>
      <c r="C149" s="90" t="s">
        <v>14</v>
      </c>
      <c r="D149" s="222">
        <f>ROUND(C148*100/D143,0)</f>
        <v>63</v>
      </c>
      <c r="E149" s="129" t="s">
        <v>74</v>
      </c>
      <c r="G149" s="4"/>
      <c r="H149" s="4"/>
      <c r="I149" s="90" t="s">
        <v>14</v>
      </c>
      <c r="J149" s="222">
        <f>ROUND(I148*100/J143,0)</f>
        <v>7</v>
      </c>
      <c r="K149" s="129" t="s">
        <v>74</v>
      </c>
      <c r="M149" s="4"/>
      <c r="N149" s="4"/>
      <c r="O149" s="90" t="s">
        <v>14</v>
      </c>
      <c r="P149" s="222">
        <f>ROUND(O148*100/P143,0)</f>
        <v>17</v>
      </c>
      <c r="Q149" s="129" t="s">
        <v>74</v>
      </c>
      <c r="S149" s="4"/>
      <c r="T149" s="4"/>
      <c r="U149" s="90" t="s">
        <v>14</v>
      </c>
      <c r="V149" s="222">
        <f>ROUND(U148*100/V143,0)</f>
        <v>48</v>
      </c>
      <c r="W149" s="129" t="s">
        <v>74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</row>
    <row r="150" ht="16.5" customHeight="1">
      <c r="A150" s="35" t="s">
        <v>324</v>
      </c>
      <c r="B150" s="4"/>
      <c r="C150" s="4"/>
      <c r="D150" s="4"/>
      <c r="E150" s="4"/>
      <c r="G150" s="35" t="s">
        <v>324</v>
      </c>
      <c r="H150" s="4"/>
      <c r="I150" s="4"/>
      <c r="J150" s="4"/>
      <c r="K150" s="4"/>
      <c r="M150" s="35" t="s">
        <v>324</v>
      </c>
      <c r="N150" s="4"/>
      <c r="O150" s="4"/>
      <c r="P150" s="4"/>
      <c r="Q150" s="4"/>
      <c r="S150" s="35" t="s">
        <v>324</v>
      </c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</row>
    <row r="151" ht="16.5" customHeight="1">
      <c r="A151" s="223">
        <f>C147</f>
        <v>2</v>
      </c>
      <c r="B151" s="224" t="s">
        <v>13</v>
      </c>
      <c r="C151" s="224" t="str">
        <f>C146</f>
        <v>1"</v>
      </c>
      <c r="D151" s="224" t="s">
        <v>14</v>
      </c>
      <c r="E151" s="225">
        <f>IF(D149&lt;20,D149,20)</f>
        <v>20</v>
      </c>
      <c r="G151" s="223">
        <f>I147</f>
        <v>1</v>
      </c>
      <c r="H151" s="224" t="s">
        <v>13</v>
      </c>
      <c r="I151" s="224" t="str">
        <f>I146</f>
        <v>3/4"</v>
      </c>
      <c r="J151" s="224" t="s">
        <v>14</v>
      </c>
      <c r="K151" s="226">
        <f>IF(J149&lt;20,J149,20)</f>
        <v>7</v>
      </c>
      <c r="M151" s="223">
        <f>O147</f>
        <v>1</v>
      </c>
      <c r="N151" s="224" t="s">
        <v>13</v>
      </c>
      <c r="O151" s="224" t="str">
        <f>O146</f>
        <v>5/8"</v>
      </c>
      <c r="P151" s="224" t="s">
        <v>14</v>
      </c>
      <c r="Q151" s="226">
        <f>IF(P149&lt;20,P149,20)</f>
        <v>17</v>
      </c>
      <c r="S151" s="223">
        <f>U147</f>
        <v>1</v>
      </c>
      <c r="T151" s="224" t="s">
        <v>13</v>
      </c>
      <c r="U151" s="224" t="str">
        <f>U146</f>
        <v>3/4"</v>
      </c>
      <c r="V151" s="224" t="s">
        <v>14</v>
      </c>
      <c r="W151" s="225">
        <f>IF(V149&lt;20,V149,20)</f>
        <v>20</v>
      </c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</row>
    <row r="152" ht="16.5" customHeight="1">
      <c r="A152" s="227" t="s">
        <v>325</v>
      </c>
      <c r="B152" s="228"/>
      <c r="C152" s="228"/>
      <c r="D152" s="228"/>
      <c r="E152" s="228"/>
      <c r="G152" s="227" t="s">
        <v>326</v>
      </c>
      <c r="H152" s="228"/>
      <c r="I152" s="228"/>
      <c r="J152" s="228"/>
      <c r="K152" s="228"/>
      <c r="M152" s="227" t="s">
        <v>326</v>
      </c>
      <c r="N152" s="228"/>
      <c r="O152" s="228"/>
      <c r="P152" s="228"/>
      <c r="Q152" s="228"/>
      <c r="S152" s="227" t="s">
        <v>326</v>
      </c>
      <c r="T152" s="228"/>
      <c r="U152" s="228"/>
      <c r="V152" s="228"/>
      <c r="W152" s="228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</row>
    <row r="153" ht="16.5" customHeight="1">
      <c r="A153" s="94" t="s">
        <v>327</v>
      </c>
      <c r="C153" s="112"/>
      <c r="D153" s="112"/>
      <c r="E153" s="4"/>
      <c r="G153" s="94" t="s">
        <v>327</v>
      </c>
      <c r="I153" s="112"/>
      <c r="J153" s="112"/>
      <c r="K153" s="4"/>
      <c r="M153" s="94" t="s">
        <v>327</v>
      </c>
      <c r="O153" s="112"/>
      <c r="P153" s="112"/>
      <c r="Q153" s="4"/>
      <c r="S153" s="94" t="s">
        <v>327</v>
      </c>
      <c r="U153" s="112"/>
      <c r="V153" s="112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</row>
    <row r="154" ht="16.5" customHeight="1">
      <c r="A154" s="112"/>
      <c r="B154" s="47" t="s">
        <v>313</v>
      </c>
      <c r="C154" s="52">
        <f>C136</f>
        <v>7.2</v>
      </c>
      <c r="D154" s="129" t="s">
        <v>303</v>
      </c>
      <c r="E154" s="4"/>
      <c r="G154" s="112"/>
      <c r="H154" s="47" t="s">
        <v>313</v>
      </c>
      <c r="I154" s="52">
        <f>I136</f>
        <v>12</v>
      </c>
      <c r="J154" s="129" t="s">
        <v>303</v>
      </c>
      <c r="K154" s="4"/>
      <c r="M154" s="112"/>
      <c r="N154" s="47" t="s">
        <v>313</v>
      </c>
      <c r="O154" s="52">
        <f>O136</f>
        <v>12</v>
      </c>
      <c r="P154" s="129" t="s">
        <v>303</v>
      </c>
      <c r="Q154" s="4"/>
      <c r="S154" s="112"/>
      <c r="T154" s="47" t="s">
        <v>313</v>
      </c>
      <c r="U154" s="52">
        <f>U136</f>
        <v>6</v>
      </c>
      <c r="V154" s="129" t="s">
        <v>303</v>
      </c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</row>
    <row r="155" ht="16.5" customHeight="1">
      <c r="A155" s="112"/>
      <c r="B155" s="105" t="s">
        <v>328</v>
      </c>
      <c r="C155" s="59">
        <v>0.3333333333333333</v>
      </c>
      <c r="D155" s="112"/>
      <c r="E155" s="4"/>
      <c r="G155" s="112"/>
      <c r="H155" s="105" t="s">
        <v>328</v>
      </c>
      <c r="I155" s="59">
        <v>0.5</v>
      </c>
      <c r="J155" s="112"/>
      <c r="K155" s="4"/>
      <c r="M155" s="112"/>
      <c r="N155" s="105" t="s">
        <v>328</v>
      </c>
      <c r="O155" s="59">
        <v>0.5</v>
      </c>
      <c r="P155" s="112"/>
      <c r="Q155" s="4"/>
      <c r="S155" s="112"/>
      <c r="T155" s="105" t="s">
        <v>328</v>
      </c>
      <c r="U155" s="59">
        <v>0.5</v>
      </c>
      <c r="V155" s="112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</row>
    <row r="156" ht="16.5" customHeight="1">
      <c r="A156" s="112"/>
      <c r="B156" s="47" t="s">
        <v>329</v>
      </c>
      <c r="C156" s="52">
        <f>C154*C155</f>
        <v>2.4</v>
      </c>
      <c r="D156" s="129" t="s">
        <v>303</v>
      </c>
      <c r="E156" s="4"/>
      <c r="G156" s="112"/>
      <c r="H156" s="47" t="s">
        <v>329</v>
      </c>
      <c r="I156" s="52">
        <f>I154*I155</f>
        <v>6</v>
      </c>
      <c r="J156" s="129" t="s">
        <v>303</v>
      </c>
      <c r="K156" s="4"/>
      <c r="M156" s="112"/>
      <c r="N156" s="47" t="s">
        <v>329</v>
      </c>
      <c r="O156" s="52">
        <f>O154*O155</f>
        <v>6</v>
      </c>
      <c r="P156" s="129" t="s">
        <v>303</v>
      </c>
      <c r="Q156" s="4"/>
      <c r="S156" s="112"/>
      <c r="T156" s="47" t="s">
        <v>329</v>
      </c>
      <c r="U156" s="52">
        <f>U154*U155</f>
        <v>3</v>
      </c>
      <c r="V156" s="129" t="s">
        <v>303</v>
      </c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</row>
    <row r="157" ht="16.5" customHeight="1">
      <c r="A157" s="105" t="s">
        <v>318</v>
      </c>
      <c r="C157" s="29" t="s">
        <v>321</v>
      </c>
      <c r="D157" s="4"/>
      <c r="E157" s="4"/>
      <c r="G157" s="105" t="s">
        <v>318</v>
      </c>
      <c r="I157" s="29" t="s">
        <v>321</v>
      </c>
      <c r="J157" s="4"/>
      <c r="K157" s="4"/>
      <c r="M157" s="105" t="s">
        <v>318</v>
      </c>
      <c r="O157" s="29" t="s">
        <v>330</v>
      </c>
      <c r="P157" s="4"/>
      <c r="Q157" s="4"/>
      <c r="S157" s="105" t="s">
        <v>318</v>
      </c>
      <c r="U157" s="29" t="s">
        <v>321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</row>
    <row r="158" ht="16.5" customHeight="1">
      <c r="A158" s="4"/>
      <c r="B158" s="47" t="s">
        <v>313</v>
      </c>
      <c r="C158" s="48">
        <f>VLOOKUP(C157,AH184:AI192,2,FALSE)</f>
        <v>2</v>
      </c>
      <c r="D158" s="129" t="s">
        <v>303</v>
      </c>
      <c r="E158" s="4"/>
      <c r="G158" s="4"/>
      <c r="H158" s="47" t="s">
        <v>313</v>
      </c>
      <c r="I158" s="48">
        <f>VLOOKUP(I157,AN184:AO192,2,FALSE)</f>
        <v>2</v>
      </c>
      <c r="J158" s="129" t="s">
        <v>303</v>
      </c>
      <c r="K158" s="4"/>
      <c r="M158" s="4"/>
      <c r="N158" s="47" t="s">
        <v>313</v>
      </c>
      <c r="O158" s="48">
        <f>VLOOKUP(O157,AT184:AU192,2,FALSE)</f>
        <v>1.27</v>
      </c>
      <c r="P158" s="129" t="s">
        <v>303</v>
      </c>
      <c r="Q158" s="4"/>
      <c r="S158" s="4"/>
      <c r="T158" s="47" t="s">
        <v>313</v>
      </c>
      <c r="U158" s="48">
        <f>VLOOKUP(U157,AZ184:BA192,2,FALSE)</f>
        <v>2</v>
      </c>
      <c r="V158" s="129" t="s">
        <v>303</v>
      </c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</row>
    <row r="159" ht="16.5" customHeight="1">
      <c r="A159" s="4"/>
      <c r="B159" s="4"/>
      <c r="C159" s="90" t="s">
        <v>14</v>
      </c>
      <c r="D159" s="222">
        <f>ROUND(C158*100/C156,0)</f>
        <v>83</v>
      </c>
      <c r="E159" s="129" t="s">
        <v>74</v>
      </c>
      <c r="G159" s="4"/>
      <c r="H159" s="4"/>
      <c r="I159" s="90" t="s">
        <v>14</v>
      </c>
      <c r="J159" s="222">
        <f>ROUND(I158*100/I156,0)</f>
        <v>33</v>
      </c>
      <c r="K159" s="129" t="s">
        <v>74</v>
      </c>
      <c r="M159" s="4"/>
      <c r="N159" s="4"/>
      <c r="O159" s="90" t="s">
        <v>14</v>
      </c>
      <c r="P159" s="222">
        <f>ROUND(O158*100/O156,0)</f>
        <v>21</v>
      </c>
      <c r="Q159" s="129" t="s">
        <v>74</v>
      </c>
      <c r="S159" s="4"/>
      <c r="T159" s="4"/>
      <c r="U159" s="90" t="s">
        <v>14</v>
      </c>
      <c r="V159" s="222">
        <f>ROUND(U158*100/U156,0)</f>
        <v>67</v>
      </c>
      <c r="W159" s="129" t="s">
        <v>74</v>
      </c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</row>
    <row r="160" ht="16.5" customHeight="1">
      <c r="A160" s="35" t="s">
        <v>324</v>
      </c>
      <c r="B160" s="4"/>
      <c r="C160" s="4"/>
      <c r="D160" s="4"/>
      <c r="E160" s="4"/>
      <c r="G160" s="35" t="s">
        <v>324</v>
      </c>
      <c r="H160" s="4"/>
      <c r="I160" s="4"/>
      <c r="J160" s="4"/>
      <c r="K160" s="4"/>
      <c r="M160" s="35" t="s">
        <v>324</v>
      </c>
      <c r="N160" s="4"/>
      <c r="O160" s="4"/>
      <c r="P160" s="4"/>
      <c r="Q160" s="4"/>
      <c r="S160" s="35" t="s">
        <v>324</v>
      </c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</row>
    <row r="161" ht="16.5" customHeight="1">
      <c r="A161" s="223">
        <v>1.0</v>
      </c>
      <c r="B161" s="224" t="s">
        <v>13</v>
      </c>
      <c r="C161" s="224" t="str">
        <f>C157</f>
        <v>5/8"</v>
      </c>
      <c r="D161" s="224" t="s">
        <v>14</v>
      </c>
      <c r="E161" s="225">
        <f>IF(D159&lt;25,D159,25)</f>
        <v>25</v>
      </c>
      <c r="G161" s="223">
        <v>1.0</v>
      </c>
      <c r="H161" s="224" t="s">
        <v>13</v>
      </c>
      <c r="I161" s="224" t="str">
        <f>I157</f>
        <v>5/8"</v>
      </c>
      <c r="J161" s="224" t="s">
        <v>14</v>
      </c>
      <c r="K161" s="225">
        <f>IF(J159&lt;25,J159,25)</f>
        <v>25</v>
      </c>
      <c r="M161" s="223">
        <v>1.0</v>
      </c>
      <c r="N161" s="224" t="s">
        <v>13</v>
      </c>
      <c r="O161" s="224" t="str">
        <f>O157</f>
        <v>1/2"</v>
      </c>
      <c r="P161" s="224" t="s">
        <v>14</v>
      </c>
      <c r="Q161" s="226">
        <f>IF(P159&lt;25,P159,25)</f>
        <v>21</v>
      </c>
      <c r="S161" s="223">
        <f>IF(U147=0,0,1)</f>
        <v>1</v>
      </c>
      <c r="T161" s="224" t="s">
        <v>13</v>
      </c>
      <c r="U161" s="224" t="str">
        <f>U157</f>
        <v>5/8"</v>
      </c>
      <c r="V161" s="224" t="s">
        <v>14</v>
      </c>
      <c r="W161" s="225">
        <f>IF(U147=0,0,IF(V159&lt;25,V159,25))</f>
        <v>25</v>
      </c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</row>
    <row r="162" ht="16.5" customHeight="1">
      <c r="A162" s="229" t="s">
        <v>331</v>
      </c>
      <c r="B162" s="228"/>
      <c r="C162" s="112"/>
      <c r="D162" s="112"/>
      <c r="E162" s="4"/>
      <c r="G162" s="230" t="s">
        <v>331</v>
      </c>
      <c r="H162" s="228"/>
      <c r="I162" s="112"/>
      <c r="J162" s="112"/>
      <c r="K162" s="4"/>
      <c r="M162" s="230" t="s">
        <v>331</v>
      </c>
      <c r="N162" s="228"/>
      <c r="O162" s="112"/>
      <c r="P162" s="112"/>
      <c r="Q162" s="4"/>
      <c r="S162" s="230" t="s">
        <v>331</v>
      </c>
      <c r="T162" s="228"/>
      <c r="U162" s="112"/>
      <c r="V162" s="112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</row>
    <row r="163" ht="16.5" customHeight="1">
      <c r="A163" s="112"/>
      <c r="B163" s="47" t="s">
        <v>313</v>
      </c>
      <c r="C163" s="95">
        <f>C136</f>
        <v>7.2</v>
      </c>
      <c r="D163" s="129" t="s">
        <v>303</v>
      </c>
      <c r="E163" s="4"/>
      <c r="G163" s="112"/>
      <c r="H163" s="47" t="s">
        <v>313</v>
      </c>
      <c r="I163" s="95">
        <f>I154</f>
        <v>12</v>
      </c>
      <c r="J163" s="129" t="s">
        <v>303</v>
      </c>
      <c r="K163" s="4"/>
      <c r="M163" s="112"/>
      <c r="N163" s="47" t="s">
        <v>313</v>
      </c>
      <c r="O163" s="95">
        <f>O136</f>
        <v>12</v>
      </c>
      <c r="P163" s="129" t="s">
        <v>303</v>
      </c>
      <c r="Q163" s="4"/>
      <c r="S163" s="112"/>
      <c r="T163" s="47" t="s">
        <v>313</v>
      </c>
      <c r="U163" s="95">
        <f>U136</f>
        <v>6</v>
      </c>
      <c r="V163" s="129" t="s">
        <v>303</v>
      </c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</row>
    <row r="164" ht="16.5" customHeight="1">
      <c r="A164" s="112"/>
      <c r="B164" s="231" t="s">
        <v>328</v>
      </c>
      <c r="C164" s="95">
        <f>1-C155</f>
        <v>0.6666666667</v>
      </c>
      <c r="D164" s="112"/>
      <c r="E164" s="4"/>
      <c r="G164" s="112"/>
      <c r="H164" s="231" t="s">
        <v>328</v>
      </c>
      <c r="I164" s="95">
        <f>1-I155</f>
        <v>0.5</v>
      </c>
      <c r="J164" s="112"/>
      <c r="K164" s="4"/>
      <c r="M164" s="112"/>
      <c r="N164" s="231" t="s">
        <v>328</v>
      </c>
      <c r="O164" s="95">
        <f>1-O155</f>
        <v>0.5</v>
      </c>
      <c r="P164" s="112"/>
      <c r="Q164" s="4"/>
      <c r="S164" s="112"/>
      <c r="T164" s="231" t="s">
        <v>328</v>
      </c>
      <c r="U164" s="95">
        <f>1-U155</f>
        <v>0.5</v>
      </c>
      <c r="V164" s="112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</row>
    <row r="165" ht="16.5" customHeight="1">
      <c r="A165" s="112"/>
      <c r="B165" s="47" t="s">
        <v>329</v>
      </c>
      <c r="C165" s="52">
        <f>C163*C164</f>
        <v>4.8</v>
      </c>
      <c r="D165" s="129" t="s">
        <v>303</v>
      </c>
      <c r="E165" s="4"/>
      <c r="G165" s="112"/>
      <c r="H165" s="47" t="s">
        <v>329</v>
      </c>
      <c r="I165" s="52">
        <f>I163*I164</f>
        <v>6</v>
      </c>
      <c r="J165" s="129" t="s">
        <v>303</v>
      </c>
      <c r="K165" s="4"/>
      <c r="M165" s="112"/>
      <c r="N165" s="47" t="s">
        <v>329</v>
      </c>
      <c r="O165" s="52">
        <f>O163*O164</f>
        <v>6</v>
      </c>
      <c r="P165" s="129" t="s">
        <v>303</v>
      </c>
      <c r="Q165" s="4"/>
      <c r="S165" s="112"/>
      <c r="T165" s="47" t="s">
        <v>329</v>
      </c>
      <c r="U165" s="52">
        <f>U163*U164</f>
        <v>3</v>
      </c>
      <c r="V165" s="129" t="s">
        <v>303</v>
      </c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</row>
    <row r="166" ht="16.5" customHeight="1">
      <c r="A166" s="179" t="s">
        <v>318</v>
      </c>
      <c r="C166" s="29" t="s">
        <v>321</v>
      </c>
      <c r="D166" s="4"/>
      <c r="E166" s="4"/>
      <c r="G166" s="179" t="s">
        <v>318</v>
      </c>
      <c r="I166" s="29" t="s">
        <v>320</v>
      </c>
      <c r="J166" s="4"/>
      <c r="K166" s="4"/>
      <c r="M166" s="179" t="s">
        <v>318</v>
      </c>
      <c r="O166" s="29" t="s">
        <v>330</v>
      </c>
      <c r="P166" s="4"/>
      <c r="Q166" s="4"/>
      <c r="S166" s="179" t="s">
        <v>318</v>
      </c>
      <c r="U166" s="29" t="s">
        <v>321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</row>
    <row r="167" ht="16.5" customHeight="1">
      <c r="A167" s="4"/>
      <c r="B167" s="47" t="s">
        <v>313</v>
      </c>
      <c r="C167" s="48">
        <f>VLOOKUP(C166,AH184:AI192,2,FALSE)</f>
        <v>2</v>
      </c>
      <c r="D167" s="129" t="s">
        <v>303</v>
      </c>
      <c r="E167" s="4"/>
      <c r="G167" s="4"/>
      <c r="H167" s="47" t="s">
        <v>313</v>
      </c>
      <c r="I167" s="48">
        <f>VLOOKUP(I166,AN184:AO192,2,FALSE)</f>
        <v>2.85</v>
      </c>
      <c r="J167" s="129" t="s">
        <v>303</v>
      </c>
      <c r="K167" s="4"/>
      <c r="M167" s="4"/>
      <c r="N167" s="47" t="s">
        <v>313</v>
      </c>
      <c r="O167" s="48">
        <f>VLOOKUP(O166,AT184:AU192,2,FALSE)</f>
        <v>1.27</v>
      </c>
      <c r="P167" s="129" t="s">
        <v>303</v>
      </c>
      <c r="Q167" s="4"/>
      <c r="S167" s="4"/>
      <c r="T167" s="47" t="s">
        <v>313</v>
      </c>
      <c r="U167" s="48">
        <f>VLOOKUP(U166,AZ184:BA192,2,FALSE)</f>
        <v>2</v>
      </c>
      <c r="V167" s="129" t="s">
        <v>303</v>
      </c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</row>
    <row r="168" ht="16.5" customHeight="1">
      <c r="A168" s="4"/>
      <c r="B168" s="4"/>
      <c r="C168" s="90" t="s">
        <v>14</v>
      </c>
      <c r="D168" s="222">
        <f>ROUND(C167*100/C165,0)</f>
        <v>42</v>
      </c>
      <c r="E168" s="129" t="s">
        <v>74</v>
      </c>
      <c r="G168" s="4"/>
      <c r="H168" s="4"/>
      <c r="I168" s="90" t="s">
        <v>14</v>
      </c>
      <c r="J168" s="222">
        <f>ROUND(I167*100/I165,0)</f>
        <v>48</v>
      </c>
      <c r="K168" s="129" t="s">
        <v>74</v>
      </c>
      <c r="M168" s="4"/>
      <c r="N168" s="4"/>
      <c r="O168" s="90" t="s">
        <v>14</v>
      </c>
      <c r="P168" s="222">
        <f>ROUND(O167*100/O165,0)</f>
        <v>21</v>
      </c>
      <c r="Q168" s="129" t="s">
        <v>74</v>
      </c>
      <c r="S168" s="4"/>
      <c r="T168" s="4"/>
      <c r="U168" s="90" t="s">
        <v>14</v>
      </c>
      <c r="V168" s="222">
        <f>ROUND(U167*100/U165,0)</f>
        <v>67</v>
      </c>
      <c r="W168" s="129" t="s">
        <v>74</v>
      </c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</row>
    <row r="169" ht="16.5" customHeight="1">
      <c r="A169" s="35" t="s">
        <v>324</v>
      </c>
      <c r="B169" s="4"/>
      <c r="C169" s="4"/>
      <c r="D169" s="4"/>
      <c r="E169" s="4"/>
      <c r="G169" s="35" t="s">
        <v>324</v>
      </c>
      <c r="H169" s="4"/>
      <c r="I169" s="4"/>
      <c r="J169" s="4"/>
      <c r="K169" s="4"/>
      <c r="M169" s="35" t="s">
        <v>324</v>
      </c>
      <c r="N169" s="4"/>
      <c r="O169" s="4"/>
      <c r="P169" s="4"/>
      <c r="Q169" s="4"/>
      <c r="S169" s="35" t="s">
        <v>324</v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</row>
    <row r="170" ht="16.5" customHeight="1">
      <c r="A170" s="223">
        <v>1.0</v>
      </c>
      <c r="B170" s="224" t="s">
        <v>13</v>
      </c>
      <c r="C170" s="224" t="str">
        <f>C166</f>
        <v>5/8"</v>
      </c>
      <c r="D170" s="224" t="s">
        <v>14</v>
      </c>
      <c r="E170" s="225">
        <f>IF(D168&lt;25,D168,25)</f>
        <v>25</v>
      </c>
      <c r="G170" s="223">
        <v>1.0</v>
      </c>
      <c r="H170" s="224" t="s">
        <v>13</v>
      </c>
      <c r="I170" s="224" t="str">
        <f>I166</f>
        <v>3/4"</v>
      </c>
      <c r="J170" s="224" t="s">
        <v>14</v>
      </c>
      <c r="K170" s="225">
        <f>IF(J168&lt;25,J168,25)</f>
        <v>25</v>
      </c>
      <c r="M170" s="223">
        <v>1.0</v>
      </c>
      <c r="N170" s="224" t="s">
        <v>13</v>
      </c>
      <c r="O170" s="224" t="str">
        <f>O166</f>
        <v>1/2"</v>
      </c>
      <c r="P170" s="224" t="s">
        <v>14</v>
      </c>
      <c r="Q170" s="226">
        <f>IF(P168&lt;25,P168,25)</f>
        <v>21</v>
      </c>
      <c r="S170" s="223">
        <f>IF(U147=0,0,1)</f>
        <v>1</v>
      </c>
      <c r="T170" s="224" t="s">
        <v>13</v>
      </c>
      <c r="U170" s="224" t="str">
        <f>U166</f>
        <v>5/8"</v>
      </c>
      <c r="V170" s="224" t="s">
        <v>14</v>
      </c>
      <c r="W170" s="225">
        <f>IF(U147=0,0,IF(V168&lt;25,V168,25))</f>
        <v>25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</row>
    <row r="172" ht="16.5" customHeight="1">
      <c r="A172" s="232" t="s">
        <v>332</v>
      </c>
      <c r="B172" s="228"/>
      <c r="C172" s="228"/>
      <c r="D172" s="228"/>
      <c r="E172" s="228"/>
      <c r="F172" s="208"/>
      <c r="G172" s="232" t="s">
        <v>332</v>
      </c>
      <c r="H172" s="228"/>
      <c r="I172" s="228"/>
      <c r="J172" s="228"/>
      <c r="K172" s="228"/>
      <c r="L172" s="208"/>
      <c r="M172" s="232" t="s">
        <v>332</v>
      </c>
      <c r="N172" s="228"/>
      <c r="O172" s="228"/>
      <c r="P172" s="228"/>
      <c r="Q172" s="228"/>
      <c r="R172" s="208"/>
      <c r="S172" s="232" t="s">
        <v>332</v>
      </c>
      <c r="T172" s="228"/>
      <c r="U172" s="228"/>
      <c r="V172" s="228"/>
      <c r="W172" s="228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</row>
    <row r="173" ht="16.5" customHeight="1">
      <c r="A173" s="112" t="s">
        <v>333</v>
      </c>
      <c r="B173" s="112"/>
      <c r="C173" s="112"/>
      <c r="D173" s="112"/>
      <c r="E173" s="90"/>
      <c r="G173" s="112" t="s">
        <v>333</v>
      </c>
      <c r="H173" s="112"/>
      <c r="I173" s="112"/>
      <c r="J173" s="112"/>
      <c r="K173" s="90"/>
      <c r="M173" s="112" t="s">
        <v>333</v>
      </c>
      <c r="N173" s="112"/>
      <c r="O173" s="112"/>
      <c r="P173" s="112"/>
      <c r="Q173" s="90"/>
      <c r="S173" s="112" t="s">
        <v>333</v>
      </c>
      <c r="T173" s="112"/>
      <c r="U173" s="112"/>
      <c r="V173" s="112"/>
      <c r="W173" s="90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</row>
    <row r="174" ht="16.5" customHeight="1">
      <c r="A174" s="4"/>
      <c r="B174" s="47" t="s">
        <v>334</v>
      </c>
      <c r="C174" s="168">
        <f>B130</f>
        <v>36</v>
      </c>
      <c r="D174" s="212" t="s">
        <v>74</v>
      </c>
      <c r="E174" s="90" t="s">
        <v>335</v>
      </c>
      <c r="G174" s="4"/>
      <c r="H174" s="47" t="s">
        <v>334</v>
      </c>
      <c r="I174" s="168">
        <f>H130</f>
        <v>60</v>
      </c>
      <c r="J174" s="212" t="s">
        <v>74</v>
      </c>
      <c r="K174" s="90"/>
      <c r="M174" s="4"/>
      <c r="N174" s="47" t="s">
        <v>334</v>
      </c>
      <c r="O174" s="168">
        <f>N130</f>
        <v>60</v>
      </c>
      <c r="P174" s="212" t="s">
        <v>74</v>
      </c>
      <c r="Q174" s="90"/>
      <c r="S174" s="4"/>
      <c r="T174" s="47" t="s">
        <v>334</v>
      </c>
      <c r="U174" s="168">
        <f>T130</f>
        <v>30</v>
      </c>
      <c r="V174" s="212" t="s">
        <v>74</v>
      </c>
      <c r="W174" s="90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</row>
    <row r="175" ht="16.5" customHeight="1">
      <c r="A175" s="4"/>
      <c r="B175" s="47" t="s">
        <v>336</v>
      </c>
      <c r="C175" s="137">
        <f>B125</f>
        <v>11.23531636</v>
      </c>
      <c r="D175" s="212" t="s">
        <v>292</v>
      </c>
      <c r="E175" s="90">
        <v>0.3</v>
      </c>
      <c r="F175" s="100" t="s">
        <v>42</v>
      </c>
      <c r="G175" s="4"/>
      <c r="H175" s="47" t="s">
        <v>336</v>
      </c>
      <c r="I175" s="137">
        <f>H125</f>
        <v>39.56790234</v>
      </c>
      <c r="J175" s="212" t="s">
        <v>292</v>
      </c>
      <c r="K175" s="90"/>
      <c r="M175" s="4"/>
      <c r="N175" s="47" t="s">
        <v>336</v>
      </c>
      <c r="O175" s="137">
        <f>N125</f>
        <v>2.980192748</v>
      </c>
      <c r="P175" s="212" t="s">
        <v>292</v>
      </c>
      <c r="Q175" s="90"/>
      <c r="S175" s="4"/>
      <c r="T175" s="47" t="s">
        <v>336</v>
      </c>
      <c r="U175" s="137">
        <f>T125</f>
        <v>0</v>
      </c>
      <c r="V175" s="212" t="s">
        <v>292</v>
      </c>
      <c r="W175" s="90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</row>
    <row r="176" ht="16.5" customHeight="1">
      <c r="A176" s="209" t="s">
        <v>337</v>
      </c>
      <c r="C176" s="4"/>
      <c r="D176" s="4"/>
      <c r="E176" s="4"/>
      <c r="F176" s="4"/>
      <c r="G176" s="209" t="s">
        <v>337</v>
      </c>
      <c r="I176" s="4"/>
      <c r="J176" s="4"/>
      <c r="K176" s="90"/>
      <c r="M176" s="209" t="s">
        <v>337</v>
      </c>
      <c r="O176" s="4"/>
      <c r="P176" s="4"/>
      <c r="Q176" s="90"/>
      <c r="S176" s="209" t="s">
        <v>337</v>
      </c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</row>
    <row r="177" ht="16.5" customHeight="1">
      <c r="A177" s="4"/>
      <c r="B177" s="47" t="s">
        <v>338</v>
      </c>
      <c r="C177" s="95">
        <f>0.53*C174*B128*POWER(B127,0.5)/1000</f>
        <v>27.64954683</v>
      </c>
      <c r="D177" s="48" t="s">
        <v>292</v>
      </c>
      <c r="E177" s="4"/>
      <c r="F177" s="4"/>
      <c r="G177" s="209"/>
      <c r="H177" s="209"/>
      <c r="I177" s="4"/>
      <c r="J177" s="4"/>
      <c r="K177" s="90"/>
      <c r="M177" s="209"/>
      <c r="N177" s="209"/>
      <c r="O177" s="4"/>
      <c r="P177" s="4"/>
      <c r="Q177" s="90"/>
      <c r="S177" s="209"/>
      <c r="T177" s="209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</row>
    <row r="178" ht="16.5" customHeight="1">
      <c r="A178" s="4"/>
      <c r="B178" s="47" t="s">
        <v>339</v>
      </c>
      <c r="C178" s="95">
        <f>C177*0.85</f>
        <v>23.50211481</v>
      </c>
      <c r="D178" s="48" t="s">
        <v>292</v>
      </c>
      <c r="E178" s="4"/>
      <c r="F178" s="4"/>
      <c r="G178" s="4"/>
      <c r="H178" s="47" t="s">
        <v>338</v>
      </c>
      <c r="I178" s="95">
        <f>0.53*I174*H128*POWER(H127,0.5)/1000</f>
        <v>46.08257805</v>
      </c>
      <c r="J178" s="48" t="s">
        <v>292</v>
      </c>
      <c r="K178" s="4"/>
      <c r="M178" s="4"/>
      <c r="N178" s="47" t="s">
        <v>338</v>
      </c>
      <c r="O178" s="95">
        <f>0.53*O174*N128*POWER(N127,0.5)/1000</f>
        <v>46.08257805</v>
      </c>
      <c r="P178" s="48" t="s">
        <v>292</v>
      </c>
      <c r="Q178" s="4"/>
      <c r="S178" s="4"/>
      <c r="T178" s="47" t="s">
        <v>338</v>
      </c>
      <c r="U178" s="95">
        <f>0.53*U174*T128*POWER(T127,0.5)/1000</f>
        <v>23.04128903</v>
      </c>
      <c r="V178" s="48" t="s">
        <v>292</v>
      </c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</row>
    <row r="179" ht="16.5" customHeight="1">
      <c r="A179" s="4"/>
      <c r="B179" s="47"/>
      <c r="C179" s="52"/>
      <c r="D179" s="48"/>
      <c r="E179" s="4"/>
      <c r="F179" s="4"/>
      <c r="G179" s="4"/>
      <c r="H179" s="47" t="s">
        <v>339</v>
      </c>
      <c r="I179" s="95">
        <f>I178*0.85</f>
        <v>39.17019134</v>
      </c>
      <c r="J179" s="48" t="s">
        <v>292</v>
      </c>
      <c r="K179" s="4"/>
      <c r="M179" s="4"/>
      <c r="N179" s="47" t="s">
        <v>339</v>
      </c>
      <c r="O179" s="95">
        <f>O178*0.85</f>
        <v>39.17019134</v>
      </c>
      <c r="P179" s="48" t="s">
        <v>292</v>
      </c>
      <c r="Q179" s="4"/>
      <c r="S179" s="4"/>
      <c r="T179" s="47" t="s">
        <v>339</v>
      </c>
      <c r="U179" s="95">
        <f>U178*0.85</f>
        <v>19.58509567</v>
      </c>
      <c r="V179" s="48" t="s">
        <v>292</v>
      </c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Y179" s="4"/>
      <c r="AZ179" s="4"/>
      <c r="BA179" s="4"/>
    </row>
    <row r="180" ht="16.5" customHeight="1">
      <c r="A180" s="233" t="s">
        <v>340</v>
      </c>
      <c r="C180" s="4"/>
      <c r="D180" s="4"/>
      <c r="E180" s="4"/>
      <c r="F180" s="4"/>
      <c r="G180" s="233" t="s">
        <v>340</v>
      </c>
      <c r="H180" s="233"/>
      <c r="I180" s="4"/>
      <c r="J180" s="4"/>
      <c r="K180" s="4"/>
      <c r="M180" s="233" t="s">
        <v>340</v>
      </c>
      <c r="N180" s="233"/>
      <c r="O180" s="4"/>
      <c r="P180" s="4"/>
      <c r="Q180" s="4"/>
      <c r="S180" s="233" t="s">
        <v>340</v>
      </c>
      <c r="T180" s="233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Y180" s="4"/>
      <c r="AZ180" s="4"/>
      <c r="BA180" s="4"/>
    </row>
    <row r="181" ht="16.5" customHeight="1">
      <c r="A181" s="4"/>
      <c r="B181" s="47" t="s">
        <v>341</v>
      </c>
      <c r="C181" s="234" t="str">
        <f>IF(C178&gt;C175,"OK","ESTA MAL")</f>
        <v>OK</v>
      </c>
      <c r="D181" s="10"/>
      <c r="E181" s="10"/>
      <c r="F181" s="4"/>
      <c r="G181" s="4"/>
      <c r="H181" s="47" t="s">
        <v>341</v>
      </c>
      <c r="I181" s="234" t="str">
        <f>IF(I179&gt;I175,"OK","ESTA MAL")</f>
        <v>ESTA MAL</v>
      </c>
      <c r="J181" s="10"/>
      <c r="K181" s="10"/>
      <c r="M181" s="4"/>
      <c r="N181" s="47" t="s">
        <v>341</v>
      </c>
      <c r="O181" s="234" t="str">
        <f>IF(O179&gt;O175,"OK","AUMENTAR UN PEDESTAL")</f>
        <v>OK</v>
      </c>
      <c r="P181" s="10"/>
      <c r="Q181" s="10"/>
      <c r="S181" s="4"/>
      <c r="T181" s="47" t="s">
        <v>341</v>
      </c>
      <c r="U181" s="234" t="str">
        <f>IF(U179&gt;U175,"OK","ESTA MAL")</f>
        <v>OK</v>
      </c>
      <c r="V181" s="10"/>
      <c r="W181" s="10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Y181" s="4"/>
      <c r="AZ181" s="4"/>
      <c r="BA181" s="4"/>
    </row>
    <row r="182" ht="16.5" customHeight="1">
      <c r="A182" s="4"/>
      <c r="B182" s="4"/>
      <c r="C182" s="4"/>
      <c r="D182" s="4"/>
      <c r="E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Y182" s="4"/>
      <c r="AZ182" s="4"/>
      <c r="BA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235" t="s">
        <v>342</v>
      </c>
      <c r="AI183" s="236" t="s">
        <v>343</v>
      </c>
      <c r="AJ183" s="4"/>
      <c r="AK183" s="4"/>
      <c r="AL183" s="4"/>
      <c r="AN183" s="235" t="s">
        <v>342</v>
      </c>
      <c r="AO183" s="236" t="s">
        <v>343</v>
      </c>
      <c r="AP183" s="4"/>
      <c r="AQ183" s="4"/>
      <c r="AR183" s="4"/>
      <c r="AT183" s="235" t="s">
        <v>342</v>
      </c>
      <c r="AU183" s="236" t="s">
        <v>343</v>
      </c>
      <c r="AV183" s="4"/>
      <c r="AW183" s="4"/>
      <c r="AX183" s="4"/>
      <c r="AZ183" s="235" t="s">
        <v>342</v>
      </c>
      <c r="BA183" s="236" t="s">
        <v>343</v>
      </c>
    </row>
    <row r="184" ht="16.5" customHeight="1">
      <c r="A184" s="237" t="s">
        <v>344</v>
      </c>
      <c r="B184" s="10"/>
      <c r="C184" s="10"/>
      <c r="D184" s="10"/>
      <c r="E184" s="10"/>
      <c r="F184" s="4"/>
      <c r="G184" s="220" t="s">
        <v>345</v>
      </c>
      <c r="L184" s="4"/>
      <c r="M184" s="238" t="s">
        <v>346</v>
      </c>
      <c r="N184" s="10"/>
      <c r="O184" s="10"/>
      <c r="P184" s="10"/>
      <c r="Q184" s="10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239" t="s">
        <v>347</v>
      </c>
      <c r="AI184" s="240">
        <v>0.28</v>
      </c>
      <c r="AJ184" s="201"/>
      <c r="AK184" s="4"/>
      <c r="AL184" s="4"/>
      <c r="AN184" s="239" t="s">
        <v>347</v>
      </c>
      <c r="AO184" s="240">
        <v>0.28</v>
      </c>
      <c r="AP184" s="201"/>
      <c r="AQ184" s="4"/>
      <c r="AR184" s="4"/>
      <c r="AT184" s="239" t="s">
        <v>347</v>
      </c>
      <c r="AU184" s="240">
        <v>0.28</v>
      </c>
      <c r="AV184" s="201"/>
      <c r="AW184" s="4"/>
      <c r="AX184" s="4"/>
      <c r="AZ184" s="239" t="s">
        <v>347</v>
      </c>
      <c r="BA184" s="240">
        <v>0.28</v>
      </c>
    </row>
    <row r="185" ht="16.5" customHeight="1">
      <c r="A185" s="6" t="s">
        <v>36</v>
      </c>
      <c r="B185" s="4"/>
      <c r="C185" s="4"/>
      <c r="D185" s="4"/>
      <c r="E185" s="4"/>
      <c r="F185" s="4"/>
      <c r="G185" s="105" t="s">
        <v>318</v>
      </c>
      <c r="I185" s="29" t="s">
        <v>320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239" t="s">
        <v>348</v>
      </c>
      <c r="AI185" s="240">
        <v>0.5</v>
      </c>
      <c r="AJ185" s="4"/>
      <c r="AK185" s="4"/>
      <c r="AL185" s="4"/>
      <c r="AN185" s="239" t="s">
        <v>348</v>
      </c>
      <c r="AO185" s="240">
        <v>0.5</v>
      </c>
      <c r="AP185" s="4"/>
      <c r="AQ185" s="4"/>
      <c r="AR185" s="4"/>
      <c r="AT185" s="239" t="s">
        <v>348</v>
      </c>
      <c r="AU185" s="240">
        <v>0.5</v>
      </c>
      <c r="AV185" s="4"/>
      <c r="AW185" s="4"/>
      <c r="AX185" s="4"/>
      <c r="AZ185" s="239" t="s">
        <v>348</v>
      </c>
      <c r="BA185" s="240">
        <v>0.5</v>
      </c>
    </row>
    <row r="186" ht="16.5" customHeight="1">
      <c r="A186" s="4"/>
      <c r="B186" s="4"/>
      <c r="C186" s="4"/>
      <c r="D186" s="241" t="s">
        <v>349</v>
      </c>
      <c r="G186" s="112"/>
      <c r="H186" s="47" t="s">
        <v>322</v>
      </c>
      <c r="I186" s="221">
        <v>1.0</v>
      </c>
      <c r="J186" s="129" t="s">
        <v>323</v>
      </c>
      <c r="K186" s="4"/>
      <c r="L186" s="4"/>
      <c r="M186" s="47" t="s">
        <v>231</v>
      </c>
      <c r="N186" s="242">
        <v>0.0</v>
      </c>
      <c r="O186" s="48" t="s">
        <v>42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243" t="s">
        <v>350</v>
      </c>
      <c r="AI186" s="240">
        <v>0.71</v>
      </c>
      <c r="AJ186" s="122"/>
      <c r="AK186" s="4"/>
      <c r="AL186" s="4"/>
      <c r="AN186" s="243" t="s">
        <v>350</v>
      </c>
      <c r="AO186" s="240">
        <v>0.71</v>
      </c>
      <c r="AP186" s="122"/>
      <c r="AQ186" s="4"/>
      <c r="AR186" s="4"/>
      <c r="AT186" s="243" t="s">
        <v>350</v>
      </c>
      <c r="AU186" s="240">
        <v>0.71</v>
      </c>
      <c r="AV186" s="122"/>
      <c r="AW186" s="4"/>
      <c r="AX186" s="4"/>
      <c r="AZ186" s="243" t="s">
        <v>350</v>
      </c>
      <c r="BA186" s="240">
        <v>0.71</v>
      </c>
    </row>
    <row r="187" ht="16.5" customHeight="1">
      <c r="A187" s="47" t="s">
        <v>65</v>
      </c>
      <c r="B187" s="7">
        <v>0.0</v>
      </c>
      <c r="C187" s="129" t="s">
        <v>42</v>
      </c>
      <c r="D187" s="47" t="s">
        <v>351</v>
      </c>
      <c r="E187" s="92">
        <f>B124/2</f>
        <v>10.36317195</v>
      </c>
      <c r="G187" s="4"/>
      <c r="H187" s="47" t="s">
        <v>313</v>
      </c>
      <c r="I187" s="48">
        <f>VLOOKUP(I185,AN184:AO192,2,FALSE)*I186</f>
        <v>2.85</v>
      </c>
      <c r="J187" s="129" t="s">
        <v>303</v>
      </c>
      <c r="K187" s="4"/>
      <c r="L187" s="4"/>
      <c r="M187" s="90" t="s">
        <v>289</v>
      </c>
      <c r="N187" s="92">
        <f>1.7*P115+1.4*Q115+1.7*R115</f>
        <v>9.254114699</v>
      </c>
      <c r="O187" s="48" t="s">
        <v>292</v>
      </c>
      <c r="P187" s="244" t="str">
        <f>IF(N187&gt;O179,"AUMENTAR LONGITUD","OK")</f>
        <v>OK</v>
      </c>
      <c r="Q187" s="10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243" t="s">
        <v>352</v>
      </c>
      <c r="AI187" s="240">
        <v>1.13</v>
      </c>
      <c r="AJ187" s="245"/>
      <c r="AK187" s="245"/>
      <c r="AL187" s="245"/>
      <c r="AN187" s="243" t="s">
        <v>352</v>
      </c>
      <c r="AO187" s="240">
        <v>1.13</v>
      </c>
      <c r="AP187" s="245"/>
      <c r="AQ187" s="245"/>
      <c r="AR187" s="245"/>
      <c r="AT187" s="243" t="s">
        <v>352</v>
      </c>
      <c r="AU187" s="240">
        <v>1.13</v>
      </c>
      <c r="AV187" s="245"/>
      <c r="AW187" s="245"/>
      <c r="AX187" s="245"/>
      <c r="AZ187" s="243" t="s">
        <v>352</v>
      </c>
      <c r="BA187" s="240">
        <v>1.13</v>
      </c>
    </row>
    <row r="188" ht="16.5" customHeight="1">
      <c r="A188" s="47" t="s">
        <v>287</v>
      </c>
      <c r="B188" s="137">
        <f>D117*1.7+E117</f>
        <v>20.7263439</v>
      </c>
      <c r="C188" s="129" t="s">
        <v>291</v>
      </c>
      <c r="D188" s="246" t="str">
        <f>IF(B188&lt;=B124/2,"OK","AUMENTA L")</f>
        <v>AUMENTA L</v>
      </c>
      <c r="E188" s="10"/>
      <c r="G188" s="4"/>
      <c r="H188" s="4"/>
      <c r="I188" s="90" t="s">
        <v>14</v>
      </c>
      <c r="J188" s="222">
        <f>ROUND(I187*100/I136,0)</f>
        <v>24</v>
      </c>
      <c r="K188" s="129" t="s">
        <v>74</v>
      </c>
      <c r="L188" s="4"/>
      <c r="M188" s="48" t="s">
        <v>353</v>
      </c>
      <c r="N188" s="4"/>
      <c r="O188" s="90" t="s">
        <v>73</v>
      </c>
      <c r="P188" s="247">
        <f>IF(O175*1000/(0.85*0.53*100*POWER(N127,0.5))-O174&lt;0,0,(O175*1000/(0.85*0.53*100*POWER(N127,0.5))-O174))</f>
        <v>0</v>
      </c>
      <c r="Q188" s="3" t="s">
        <v>74</v>
      </c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243" t="s">
        <v>330</v>
      </c>
      <c r="AI188" s="240">
        <v>1.27</v>
      </c>
      <c r="AJ188" s="4"/>
      <c r="AK188" s="4"/>
      <c r="AL188" s="4"/>
      <c r="AN188" s="243" t="s">
        <v>330</v>
      </c>
      <c r="AO188" s="240">
        <v>1.27</v>
      </c>
      <c r="AP188" s="4"/>
      <c r="AQ188" s="4"/>
      <c r="AR188" s="4"/>
      <c r="AT188" s="243" t="s">
        <v>330</v>
      </c>
      <c r="AU188" s="240">
        <v>1.27</v>
      </c>
      <c r="AV188" s="4"/>
      <c r="AW188" s="4"/>
      <c r="AX188" s="4"/>
      <c r="AZ188" s="243" t="s">
        <v>330</v>
      </c>
      <c r="BA188" s="240">
        <v>1.27</v>
      </c>
    </row>
    <row r="189" ht="16.5" customHeight="1">
      <c r="A189" s="47" t="s">
        <v>293</v>
      </c>
      <c r="B189" s="47">
        <f t="shared" ref="B189:B190" si="43">B126</f>
        <v>4200</v>
      </c>
      <c r="C189" s="129" t="s">
        <v>294</v>
      </c>
      <c r="D189" s="4"/>
      <c r="E189" s="4"/>
      <c r="G189" s="35" t="s">
        <v>324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239" t="s">
        <v>321</v>
      </c>
      <c r="AI189" s="240">
        <v>2.0</v>
      </c>
      <c r="AJ189" s="4"/>
      <c r="AK189" s="4"/>
      <c r="AL189" s="4"/>
      <c r="AN189" s="239" t="s">
        <v>321</v>
      </c>
      <c r="AO189" s="240">
        <v>2.0</v>
      </c>
      <c r="AP189" s="4"/>
      <c r="AQ189" s="4"/>
      <c r="AR189" s="4"/>
      <c r="AT189" s="239" t="s">
        <v>321</v>
      </c>
      <c r="AU189" s="240">
        <v>2.0</v>
      </c>
      <c r="AV189" s="4"/>
      <c r="AW189" s="4"/>
      <c r="AX189" s="4"/>
      <c r="AZ189" s="239" t="s">
        <v>321</v>
      </c>
      <c r="BA189" s="240">
        <v>2.0</v>
      </c>
    </row>
    <row r="190" ht="16.5" customHeight="1">
      <c r="A190" s="47" t="s">
        <v>295</v>
      </c>
      <c r="B190" s="47">
        <f t="shared" si="43"/>
        <v>210</v>
      </c>
      <c r="C190" s="129" t="s">
        <v>294</v>
      </c>
      <c r="D190" s="4"/>
      <c r="E190" s="4"/>
      <c r="G190" s="248">
        <f>I186</f>
        <v>1</v>
      </c>
      <c r="H190" s="249" t="s">
        <v>13</v>
      </c>
      <c r="I190" s="249" t="str">
        <f>I185</f>
        <v>3/4"</v>
      </c>
      <c r="J190" s="249" t="s">
        <v>14</v>
      </c>
      <c r="K190" s="250">
        <f>IF(J188&lt;20,J188,20)</f>
        <v>20</v>
      </c>
      <c r="L190" s="4"/>
      <c r="M190" s="237" t="s">
        <v>354</v>
      </c>
      <c r="N190" s="10"/>
      <c r="O190" s="10"/>
      <c r="P190" s="10"/>
      <c r="Q190" s="10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239" t="s">
        <v>320</v>
      </c>
      <c r="AI190" s="240">
        <v>2.85</v>
      </c>
      <c r="AJ190" s="4"/>
      <c r="AK190" s="4"/>
      <c r="AL190" s="4"/>
      <c r="AN190" s="239" t="s">
        <v>320</v>
      </c>
      <c r="AO190" s="240">
        <v>2.85</v>
      </c>
      <c r="AP190" s="4"/>
      <c r="AQ190" s="4"/>
      <c r="AR190" s="4"/>
      <c r="AT190" s="239" t="s">
        <v>320</v>
      </c>
      <c r="AU190" s="240">
        <v>2.85</v>
      </c>
      <c r="AV190" s="4"/>
      <c r="AW190" s="4"/>
      <c r="AX190" s="4"/>
      <c r="AZ190" s="239" t="s">
        <v>320</v>
      </c>
      <c r="BA190" s="240">
        <v>2.85</v>
      </c>
    </row>
    <row r="191" ht="16.5" customHeight="1">
      <c r="A191" s="47" t="s">
        <v>46</v>
      </c>
      <c r="B191" s="47">
        <v>100.0</v>
      </c>
      <c r="C191" s="129" t="s">
        <v>74</v>
      </c>
      <c r="D191" s="4"/>
      <c r="E191" s="4"/>
      <c r="G191" s="4"/>
      <c r="H191" s="4"/>
      <c r="I191" s="4"/>
      <c r="J191" s="4"/>
      <c r="K191" s="4"/>
      <c r="L191" s="4"/>
      <c r="M191" s="6" t="s">
        <v>36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239" t="s">
        <v>319</v>
      </c>
      <c r="AI191" s="240">
        <v>5.07</v>
      </c>
      <c r="AJ191" s="4"/>
      <c r="AK191" s="4"/>
      <c r="AL191" s="4"/>
      <c r="AN191" s="239" t="s">
        <v>319</v>
      </c>
      <c r="AO191" s="240">
        <v>5.07</v>
      </c>
      <c r="AP191" s="4"/>
      <c r="AQ191" s="4"/>
      <c r="AR191" s="4"/>
      <c r="AT191" s="239" t="s">
        <v>319</v>
      </c>
      <c r="AU191" s="240">
        <v>5.07</v>
      </c>
      <c r="AV191" s="4"/>
      <c r="AW191" s="4"/>
      <c r="AX191" s="4"/>
      <c r="AZ191" s="239" t="s">
        <v>319</v>
      </c>
      <c r="BA191" s="240">
        <v>5.07</v>
      </c>
    </row>
    <row r="192" ht="16.5" customHeight="1">
      <c r="A192" s="47" t="s">
        <v>296</v>
      </c>
      <c r="B192" s="137">
        <f>(H52*E196/L48+J43)*100</f>
        <v>40</v>
      </c>
      <c r="C192" s="129" t="s">
        <v>74</v>
      </c>
      <c r="D192" s="4"/>
      <c r="E192" s="4"/>
      <c r="G192" s="4"/>
      <c r="H192" s="4"/>
      <c r="I192" s="4"/>
      <c r="J192" s="4"/>
      <c r="K192" s="4"/>
      <c r="L192" s="4"/>
      <c r="M192" s="4"/>
      <c r="N192" s="4"/>
      <c r="O192" s="4"/>
      <c r="P192" s="241" t="s">
        <v>349</v>
      </c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239" t="s">
        <v>355</v>
      </c>
      <c r="AI192" s="240">
        <v>10.06</v>
      </c>
      <c r="AJ192" s="4"/>
      <c r="AK192" s="4"/>
      <c r="AL192" s="4"/>
      <c r="AN192" s="239" t="s">
        <v>355</v>
      </c>
      <c r="AO192" s="240">
        <v>10.06</v>
      </c>
      <c r="AP192" s="4"/>
      <c r="AQ192" s="4"/>
      <c r="AR192" s="4"/>
      <c r="AT192" s="239" t="s">
        <v>355</v>
      </c>
      <c r="AU192" s="240">
        <v>10.06</v>
      </c>
      <c r="AV192" s="4"/>
      <c r="AW192" s="4"/>
      <c r="AX192" s="4"/>
      <c r="AZ192" s="239" t="s">
        <v>355</v>
      </c>
      <c r="BA192" s="240">
        <v>10.06</v>
      </c>
    </row>
    <row r="193" ht="16.5" customHeight="1">
      <c r="A193" s="47" t="s">
        <v>99</v>
      </c>
      <c r="B193" s="251">
        <f>B192-4</f>
        <v>36</v>
      </c>
      <c r="C193" s="129" t="s">
        <v>74</v>
      </c>
      <c r="D193" s="4"/>
      <c r="E193" s="4"/>
      <c r="F193" s="4"/>
      <c r="H193" s="4"/>
      <c r="I193" s="4"/>
      <c r="J193" s="4"/>
      <c r="K193" s="4"/>
      <c r="L193" s="4"/>
      <c r="M193" s="47" t="s">
        <v>65</v>
      </c>
      <c r="N193" s="7">
        <v>0.0</v>
      </c>
      <c r="O193" s="129" t="s">
        <v>42</v>
      </c>
      <c r="P193" s="47" t="s">
        <v>351</v>
      </c>
      <c r="Q193" s="140">
        <f>N124/2</f>
        <v>2.063024115</v>
      </c>
      <c r="R193" s="4"/>
      <c r="S193" s="4"/>
      <c r="T193" s="4"/>
      <c r="U193" s="4"/>
      <c r="V193" s="4"/>
      <c r="W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</row>
    <row r="194" ht="16.5" customHeight="1">
      <c r="A194" s="47" t="s">
        <v>287</v>
      </c>
      <c r="B194" s="48">
        <f>B188*100000</f>
        <v>2072634.39</v>
      </c>
      <c r="C194" s="129" t="s">
        <v>356</v>
      </c>
      <c r="D194" s="47" t="s">
        <v>314</v>
      </c>
      <c r="E194" s="92">
        <f>0.002*B192*100</f>
        <v>8</v>
      </c>
      <c r="G194" s="4"/>
      <c r="H194" s="4"/>
      <c r="I194" s="4"/>
      <c r="J194" s="4"/>
      <c r="K194" s="4"/>
      <c r="L194" s="4"/>
      <c r="M194" s="47" t="s">
        <v>287</v>
      </c>
      <c r="N194" s="137">
        <f>1.7*P118+1.4*Q118+1.7*R118</f>
        <v>4.126048231</v>
      </c>
      <c r="O194" s="129" t="s">
        <v>291</v>
      </c>
      <c r="P194" s="244" t="str">
        <f>IF(N194&lt;=N124/2,"OK","AUMENTA L")</f>
        <v>AUMENTA L</v>
      </c>
      <c r="Q194" s="10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</row>
    <row r="195" ht="16.5" customHeight="1">
      <c r="A195" s="4"/>
      <c r="B195" s="4"/>
      <c r="C195" s="4"/>
      <c r="D195" s="4"/>
      <c r="E195" s="4"/>
      <c r="H195" s="51"/>
      <c r="M195" s="47" t="s">
        <v>293</v>
      </c>
      <c r="N195" s="47">
        <f t="shared" ref="N195:N196" si="44">N126</f>
        <v>4200</v>
      </c>
      <c r="O195" s="129" t="s">
        <v>294</v>
      </c>
      <c r="P195" s="4"/>
      <c r="Q195" s="4"/>
      <c r="R195" s="4"/>
      <c r="S195" s="4"/>
      <c r="T195" s="4"/>
      <c r="U195" s="4"/>
      <c r="V195" s="4"/>
      <c r="W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</row>
    <row r="196" ht="16.5" customHeight="1">
      <c r="A196" s="205" t="s">
        <v>298</v>
      </c>
      <c r="B196" s="206"/>
      <c r="C196" s="207"/>
      <c r="D196" s="207"/>
      <c r="E196" s="252">
        <f>L48-B187</f>
        <v>4</v>
      </c>
      <c r="G196" s="4"/>
      <c r="H196" s="51"/>
      <c r="M196" s="47" t="s">
        <v>295</v>
      </c>
      <c r="N196" s="47">
        <f t="shared" si="44"/>
        <v>210</v>
      </c>
      <c r="O196" s="129" t="s">
        <v>294</v>
      </c>
      <c r="P196" s="4"/>
      <c r="Q196" s="4"/>
      <c r="R196" s="4"/>
      <c r="S196" s="4"/>
      <c r="T196" s="4"/>
      <c r="U196" s="4"/>
      <c r="V196" s="4"/>
      <c r="W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</row>
    <row r="197" ht="16.5" customHeight="1">
      <c r="A197" s="253"/>
      <c r="B197" s="253"/>
      <c r="C197" s="253"/>
      <c r="D197" s="253"/>
      <c r="E197" s="254"/>
      <c r="H197" s="51"/>
      <c r="M197" s="47" t="s">
        <v>46</v>
      </c>
      <c r="N197" s="47">
        <v>100.0</v>
      </c>
      <c r="O197" s="129" t="s">
        <v>74</v>
      </c>
      <c r="P197" s="4"/>
      <c r="Q197" s="4"/>
      <c r="R197" s="4"/>
      <c r="S197" s="4"/>
      <c r="T197" s="4"/>
      <c r="U197" s="4"/>
      <c r="V197" s="4"/>
      <c r="W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</row>
    <row r="198" ht="16.5" customHeight="1">
      <c r="A198" s="16" t="s">
        <v>311</v>
      </c>
      <c r="B198" s="16"/>
      <c r="C198" s="16"/>
      <c r="D198" s="16"/>
      <c r="E198" s="16"/>
      <c r="M198" s="47" t="s">
        <v>296</v>
      </c>
      <c r="N198" s="47">
        <f>N129</f>
        <v>70</v>
      </c>
      <c r="O198" s="129" t="s">
        <v>74</v>
      </c>
      <c r="P198" s="4"/>
      <c r="Q198" s="4"/>
      <c r="R198" s="4"/>
      <c r="S198" s="4"/>
      <c r="T198" s="4"/>
      <c r="U198" s="4"/>
      <c r="V198" s="4"/>
      <c r="W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</row>
    <row r="199" ht="16.5" customHeight="1">
      <c r="A199" s="4"/>
      <c r="B199" s="4"/>
      <c r="C199" s="4"/>
      <c r="D199" s="4"/>
      <c r="E199" s="4"/>
      <c r="H199" s="51"/>
      <c r="M199" s="47" t="s">
        <v>99</v>
      </c>
      <c r="N199" s="255">
        <f>N198-4</f>
        <v>66</v>
      </c>
      <c r="O199" s="129" t="s">
        <v>74</v>
      </c>
      <c r="P199" s="4"/>
      <c r="Q199" s="4"/>
      <c r="R199" s="4"/>
      <c r="S199" s="4"/>
      <c r="T199" s="4"/>
      <c r="U199" s="4"/>
      <c r="V199" s="4"/>
      <c r="W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</row>
    <row r="200" ht="16.5" customHeight="1">
      <c r="A200" s="107" t="s">
        <v>218</v>
      </c>
      <c r="B200" s="215">
        <f>B193-POWER(POWER(B193,2)-2*B194/(0.85*0.9*B190*B191),0.5)</f>
        <v>3.782474454</v>
      </c>
      <c r="C200" s="129" t="s">
        <v>74</v>
      </c>
      <c r="D200" s="216" t="s">
        <v>312</v>
      </c>
      <c r="M200" s="47" t="s">
        <v>287</v>
      </c>
      <c r="N200" s="48">
        <f>N194*100000</f>
        <v>412604.8231</v>
      </c>
      <c r="O200" s="129" t="s">
        <v>356</v>
      </c>
      <c r="P200" s="4"/>
      <c r="Q200" s="4"/>
      <c r="R200" s="4"/>
      <c r="S200" s="4"/>
      <c r="T200" s="4"/>
      <c r="U200" s="4"/>
      <c r="V200" s="4"/>
      <c r="W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</row>
    <row r="201" ht="16.5" customHeight="1">
      <c r="A201" s="107" t="s">
        <v>313</v>
      </c>
      <c r="B201" s="215">
        <f>B194/(0.9*B189*(B193-B200/2))</f>
        <v>16.07551643</v>
      </c>
      <c r="C201" s="129" t="s">
        <v>303</v>
      </c>
      <c r="D201" s="47" t="s">
        <v>314</v>
      </c>
      <c r="E201" s="217" t="str">
        <f>IF(B201&gt;E194,"OK","NO")</f>
        <v>OK</v>
      </c>
      <c r="M201" s="4"/>
      <c r="N201" s="256"/>
      <c r="O201" s="4"/>
      <c r="P201" s="4"/>
      <c r="Q201" s="4"/>
      <c r="R201" s="4"/>
      <c r="S201" s="4"/>
      <c r="T201" s="4"/>
      <c r="U201" s="4"/>
      <c r="V201" s="4"/>
      <c r="W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</row>
    <row r="202" ht="16.5" customHeight="1">
      <c r="A202" s="4"/>
      <c r="B202" s="4"/>
      <c r="C202" s="47" t="s">
        <v>313</v>
      </c>
      <c r="D202" s="257">
        <f>MAX(B201,E194)</f>
        <v>16.07551643</v>
      </c>
      <c r="E202" s="129" t="s">
        <v>303</v>
      </c>
      <c r="M202" s="205" t="s">
        <v>298</v>
      </c>
      <c r="N202" s="207"/>
      <c r="O202" s="207"/>
      <c r="P202" s="207"/>
      <c r="Q202" s="207"/>
      <c r="R202" s="4"/>
      <c r="S202" s="4"/>
      <c r="T202" s="4"/>
      <c r="U202" s="4"/>
      <c r="V202" s="4"/>
      <c r="W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</row>
    <row r="203" ht="16.5" customHeight="1">
      <c r="A203" s="258"/>
      <c r="B203" s="258"/>
      <c r="C203" s="258"/>
      <c r="D203" s="258"/>
      <c r="E203" s="258"/>
      <c r="M203" s="209" t="s">
        <v>299</v>
      </c>
      <c r="Q203" s="4"/>
      <c r="R203" s="4"/>
      <c r="S203" s="4"/>
      <c r="T203" s="4"/>
      <c r="U203" s="4"/>
      <c r="V203" s="4"/>
      <c r="W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</row>
    <row r="204" ht="16.5" customHeight="1">
      <c r="A204" s="220" t="s">
        <v>357</v>
      </c>
      <c r="F204" s="220" t="s">
        <v>345</v>
      </c>
      <c r="M204" s="4"/>
      <c r="N204" s="55" t="s">
        <v>300</v>
      </c>
      <c r="O204" s="107" t="s">
        <v>301</v>
      </c>
      <c r="P204" s="4"/>
      <c r="Q204" s="4"/>
      <c r="R204" s="4"/>
      <c r="S204" s="4"/>
      <c r="T204" s="4"/>
      <c r="U204" s="4"/>
      <c r="V204" s="4"/>
      <c r="W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</row>
    <row r="205" ht="16.5" customHeight="1">
      <c r="A205" s="105" t="s">
        <v>318</v>
      </c>
      <c r="C205" s="94" t="str">
        <f>C146</f>
        <v>1"</v>
      </c>
      <c r="D205" s="4"/>
      <c r="E205" s="4"/>
      <c r="F205" s="105" t="s">
        <v>318</v>
      </c>
      <c r="H205" s="29" t="s">
        <v>320</v>
      </c>
      <c r="I205" s="4"/>
      <c r="J205" s="4"/>
      <c r="M205" s="2" t="s">
        <v>358</v>
      </c>
      <c r="N205" s="210">
        <v>0.002</v>
      </c>
      <c r="O205" s="211">
        <f>N205*N197*N199</f>
        <v>13.2</v>
      </c>
      <c r="P205" s="212" t="s">
        <v>303</v>
      </c>
      <c r="Q205" s="4"/>
      <c r="R205" s="4"/>
      <c r="S205" s="4"/>
      <c r="T205" s="4"/>
      <c r="U205" s="4"/>
      <c r="V205" s="4"/>
      <c r="W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</row>
    <row r="206" ht="16.5" customHeight="1">
      <c r="A206" s="112"/>
      <c r="B206" s="47" t="s">
        <v>322</v>
      </c>
      <c r="C206" s="6">
        <f>IF(C147&gt;1,1,0)</f>
        <v>1</v>
      </c>
      <c r="D206" s="129" t="s">
        <v>323</v>
      </c>
      <c r="E206" s="4"/>
      <c r="F206" s="112"/>
      <c r="G206" s="47" t="s">
        <v>322</v>
      </c>
      <c r="H206" s="221">
        <v>1.0</v>
      </c>
      <c r="I206" s="129" t="s">
        <v>323</v>
      </c>
      <c r="J206" s="4"/>
      <c r="M206" s="2" t="s">
        <v>359</v>
      </c>
      <c r="N206" s="210">
        <v>0.0018</v>
      </c>
      <c r="O206" s="211">
        <f>N206*N197*N199</f>
        <v>11.88</v>
      </c>
      <c r="P206" s="212" t="s">
        <v>303</v>
      </c>
      <c r="Q206" s="107"/>
      <c r="R206" s="4"/>
      <c r="S206" s="4"/>
      <c r="T206" s="4"/>
      <c r="U206" s="4"/>
      <c r="V206" s="4"/>
      <c r="W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</row>
    <row r="207" ht="16.5" customHeight="1">
      <c r="A207" s="4"/>
      <c r="B207" s="47" t="s">
        <v>313</v>
      </c>
      <c r="C207" s="48">
        <f>VLOOKUP(C205,AH184:AI192,2,FALSE)*C206</f>
        <v>5.07</v>
      </c>
      <c r="D207" s="129" t="s">
        <v>303</v>
      </c>
      <c r="E207" s="4"/>
      <c r="F207" s="4"/>
      <c r="G207" s="47" t="s">
        <v>313</v>
      </c>
      <c r="H207" s="48">
        <f>VLOOKUP(H205,AH184:AI192,2,FALSE)*H206</f>
        <v>2.85</v>
      </c>
      <c r="I207" s="129" t="s">
        <v>303</v>
      </c>
      <c r="J207" s="4"/>
      <c r="M207" s="253"/>
      <c r="N207" s="253"/>
      <c r="O207" s="253"/>
      <c r="P207" s="253"/>
      <c r="Q207" s="254"/>
      <c r="R207" s="4"/>
      <c r="S207" s="4"/>
      <c r="T207" s="4"/>
      <c r="U207" s="4"/>
      <c r="V207" s="4"/>
      <c r="W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</row>
    <row r="208" ht="16.5" customHeight="1">
      <c r="A208" s="4"/>
      <c r="B208" s="4"/>
      <c r="C208" s="90" t="s">
        <v>14</v>
      </c>
      <c r="D208" s="222">
        <f>ROUND(C207*100/D202,0)</f>
        <v>32</v>
      </c>
      <c r="E208" s="129" t="s">
        <v>74</v>
      </c>
      <c r="F208" s="4"/>
      <c r="G208" s="4"/>
      <c r="H208" s="90" t="s">
        <v>14</v>
      </c>
      <c r="I208" s="222">
        <f>ROUND(H207*100/E194,0)</f>
        <v>36</v>
      </c>
      <c r="J208" s="129" t="s">
        <v>74</v>
      </c>
      <c r="M208" s="50" t="s">
        <v>311</v>
      </c>
      <c r="R208" s="4"/>
      <c r="S208" s="4"/>
      <c r="T208" s="4"/>
      <c r="U208" s="4"/>
      <c r="V208" s="4"/>
      <c r="W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</row>
    <row r="209" ht="16.5" customHeight="1">
      <c r="A209" s="35" t="s">
        <v>324</v>
      </c>
      <c r="B209" s="4"/>
      <c r="C209" s="4"/>
      <c r="D209" s="4"/>
      <c r="E209" s="4"/>
      <c r="F209" s="35" t="s">
        <v>324</v>
      </c>
      <c r="G209" s="4"/>
      <c r="H209" s="4"/>
      <c r="I209" s="4"/>
      <c r="J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</row>
    <row r="210" ht="16.5" customHeight="1">
      <c r="A210" s="248">
        <f>C206</f>
        <v>1</v>
      </c>
      <c r="B210" s="249" t="s">
        <v>13</v>
      </c>
      <c r="C210" s="249" t="str">
        <f>C205</f>
        <v>1"</v>
      </c>
      <c r="D210" s="249" t="s">
        <v>14</v>
      </c>
      <c r="E210" s="250">
        <f>IF(D208&lt;20,D208,20)</f>
        <v>20</v>
      </c>
      <c r="F210" s="248">
        <f>H206</f>
        <v>1</v>
      </c>
      <c r="G210" s="249" t="s">
        <v>13</v>
      </c>
      <c r="H210" s="249" t="str">
        <f>H205</f>
        <v>3/4"</v>
      </c>
      <c r="I210" s="249" t="s">
        <v>14</v>
      </c>
      <c r="J210" s="250">
        <f>IF(I208&lt;20,I208,20)</f>
        <v>20</v>
      </c>
      <c r="M210" s="107" t="s">
        <v>218</v>
      </c>
      <c r="N210" s="215">
        <f>N199-POWER(POWER(N199,2)-2*N200/(0.85*0.9*N196*N197),0.5)</f>
        <v>0.3902974001</v>
      </c>
      <c r="O210" s="129" t="s">
        <v>74</v>
      </c>
      <c r="P210" s="216" t="s">
        <v>312</v>
      </c>
      <c r="R210" s="4"/>
      <c r="S210" s="4"/>
      <c r="T210" s="4"/>
      <c r="U210" s="4"/>
      <c r="V210" s="4"/>
      <c r="W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</row>
    <row r="211" ht="16.5" customHeight="1">
      <c r="A211" s="220" t="s">
        <v>345</v>
      </c>
      <c r="F211" s="4"/>
      <c r="G211" s="4"/>
      <c r="H211" s="4"/>
      <c r="I211" s="4"/>
      <c r="J211" s="4"/>
      <c r="M211" s="107" t="s">
        <v>313</v>
      </c>
      <c r="N211" s="215">
        <f>N200/(0.9*N195*(N199-N210/2))</f>
        <v>1.65876395</v>
      </c>
      <c r="O211" s="129" t="s">
        <v>303</v>
      </c>
      <c r="P211" s="47" t="s">
        <v>314</v>
      </c>
      <c r="Q211" s="217" t="str">
        <f>IF(N211&gt;O206,"OK","NO")</f>
        <v>NO</v>
      </c>
      <c r="R211" s="4"/>
      <c r="S211" s="4"/>
      <c r="T211" s="4"/>
      <c r="U211" s="4"/>
      <c r="V211" s="4"/>
      <c r="W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</row>
    <row r="212" ht="16.5" customHeight="1">
      <c r="A212" s="105" t="s">
        <v>318</v>
      </c>
      <c r="C212" s="29" t="s">
        <v>320</v>
      </c>
      <c r="D212" s="4"/>
      <c r="E212" s="4"/>
      <c r="F212" s="4"/>
      <c r="G212" s="4"/>
      <c r="H212" s="4"/>
      <c r="I212" s="4"/>
      <c r="J212" s="4"/>
      <c r="M212" s="4"/>
      <c r="N212" s="4"/>
      <c r="O212" s="47" t="s">
        <v>313</v>
      </c>
      <c r="P212" s="257">
        <f>MAX(N211,O206)</f>
        <v>11.88</v>
      </c>
      <c r="Q212" s="129" t="s">
        <v>303</v>
      </c>
      <c r="R212" s="4"/>
      <c r="S212" s="4"/>
      <c r="T212" s="4"/>
      <c r="U212" s="4"/>
      <c r="V212" s="4"/>
      <c r="W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</row>
    <row r="213" ht="16.5" customHeight="1">
      <c r="A213" s="112"/>
      <c r="B213" s="47" t="s">
        <v>322</v>
      </c>
      <c r="C213" s="221">
        <v>1.0</v>
      </c>
      <c r="D213" s="129" t="s">
        <v>323</v>
      </c>
      <c r="E213" s="4"/>
      <c r="M213" s="258"/>
      <c r="N213" s="258"/>
      <c r="O213" s="258"/>
      <c r="P213" s="258"/>
      <c r="Q213" s="258"/>
      <c r="R213" s="4"/>
      <c r="S213" s="4"/>
      <c r="T213" s="4"/>
      <c r="U213" s="4"/>
      <c r="V213" s="4"/>
      <c r="W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</row>
    <row r="214" ht="16.5" customHeight="1">
      <c r="A214" s="4"/>
      <c r="B214" s="47" t="s">
        <v>313</v>
      </c>
      <c r="C214" s="48">
        <f>VLOOKUP(C212,AH184:AI192,2,FALSE)*C213</f>
        <v>2.85</v>
      </c>
      <c r="D214" s="129" t="s">
        <v>303</v>
      </c>
      <c r="E214" s="4"/>
      <c r="M214" s="220" t="s">
        <v>317</v>
      </c>
      <c r="R214" s="4"/>
      <c r="S214" s="4"/>
      <c r="T214" s="4"/>
      <c r="U214" s="4"/>
      <c r="V214" s="4"/>
      <c r="W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</row>
    <row r="215" ht="16.5" customHeight="1">
      <c r="A215" s="4"/>
      <c r="B215" s="4"/>
      <c r="C215" s="90" t="s">
        <v>14</v>
      </c>
      <c r="D215" s="222">
        <f>ROUND(C214*100/C137,0)</f>
        <v>44</v>
      </c>
      <c r="E215" s="129" t="s">
        <v>74</v>
      </c>
      <c r="M215" s="105" t="s">
        <v>318</v>
      </c>
      <c r="O215" s="94" t="str">
        <f>O146</f>
        <v>5/8"</v>
      </c>
      <c r="P215" s="4"/>
      <c r="Q215" s="4"/>
      <c r="R215" s="4"/>
      <c r="S215" s="4"/>
      <c r="T215" s="4"/>
      <c r="U215" s="4"/>
      <c r="V215" s="4"/>
      <c r="W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</row>
    <row r="216" ht="16.5" customHeight="1">
      <c r="A216" s="35" t="s">
        <v>324</v>
      </c>
      <c r="B216" s="4"/>
      <c r="C216" s="4"/>
      <c r="D216" s="4"/>
      <c r="E216" s="4"/>
      <c r="M216" s="112"/>
      <c r="N216" s="47" t="s">
        <v>322</v>
      </c>
      <c r="O216" s="6">
        <f>IF(O147&gt;1,1,0)</f>
        <v>0</v>
      </c>
      <c r="P216" s="129" t="s">
        <v>323</v>
      </c>
      <c r="Q216" s="4"/>
      <c r="R216" s="4"/>
      <c r="S216" s="4"/>
      <c r="T216" s="4"/>
      <c r="U216" s="4"/>
      <c r="V216" s="4"/>
      <c r="W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</row>
    <row r="217" ht="16.5" customHeight="1">
      <c r="A217" s="248">
        <f>C213</f>
        <v>1</v>
      </c>
      <c r="B217" s="249" t="s">
        <v>13</v>
      </c>
      <c r="C217" s="249" t="str">
        <f>C212</f>
        <v>3/4"</v>
      </c>
      <c r="D217" s="249" t="s">
        <v>14</v>
      </c>
      <c r="E217" s="250">
        <f>IF(D215&lt;20,D215,20)</f>
        <v>20</v>
      </c>
      <c r="M217" s="4"/>
      <c r="N217" s="47" t="s">
        <v>313</v>
      </c>
      <c r="O217" s="48">
        <f>VLOOKUP(O215,AT184:AU192,2,FALSE)*O216</f>
        <v>0</v>
      </c>
      <c r="P217" s="129" t="s">
        <v>303</v>
      </c>
      <c r="Q217" s="4"/>
      <c r="R217" s="4"/>
      <c r="S217" s="4"/>
      <c r="T217" s="4"/>
      <c r="U217" s="4"/>
      <c r="V217" s="4"/>
      <c r="W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</row>
    <row r="218" ht="16.5" customHeight="1">
      <c r="M218" s="4"/>
      <c r="N218" s="4"/>
      <c r="O218" s="90" t="s">
        <v>14</v>
      </c>
      <c r="P218" s="222">
        <f>ROUND(O217*100/P212,0)</f>
        <v>0</v>
      </c>
      <c r="Q218" s="129" t="s">
        <v>74</v>
      </c>
      <c r="R218" s="4"/>
      <c r="S218" s="4"/>
      <c r="T218" s="4"/>
      <c r="U218" s="4"/>
      <c r="V218" s="4"/>
      <c r="W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</row>
    <row r="219" ht="16.5" customHeight="1">
      <c r="M219" s="35" t="s">
        <v>324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</row>
    <row r="220" ht="16.5" customHeight="1">
      <c r="A220" s="38"/>
      <c r="C220" s="100"/>
      <c r="M220" s="248">
        <f>O216</f>
        <v>0</v>
      </c>
      <c r="N220" s="249" t="s">
        <v>13</v>
      </c>
      <c r="O220" s="249" t="str">
        <f>O215</f>
        <v>5/8"</v>
      </c>
      <c r="P220" s="249" t="s">
        <v>14</v>
      </c>
      <c r="Q220" s="259">
        <f>IF(P218&lt;20,P218,20)</f>
        <v>0</v>
      </c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</row>
    <row r="221" ht="16.5" customHeight="1">
      <c r="N221" s="4"/>
      <c r="O221" s="4"/>
      <c r="P221" s="4"/>
      <c r="Q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</row>
    <row r="222" ht="16.5" customHeight="1">
      <c r="P222" s="4"/>
      <c r="Q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</row>
    <row r="223" ht="16.5" customHeight="1">
      <c r="P223" s="4"/>
      <c r="Q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</row>
    <row r="224" ht="16.5" customHeight="1">
      <c r="P224" s="4"/>
      <c r="Q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</row>
    <row r="225" ht="16.5" customHeight="1">
      <c r="A225" s="38"/>
      <c r="P225" s="4"/>
      <c r="Q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</row>
    <row r="226" ht="16.5" customHeight="1">
      <c r="P226" s="4"/>
      <c r="Q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</row>
    <row r="227" ht="16.5" customHeight="1">
      <c r="P227" s="4"/>
      <c r="Q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</row>
    <row r="228" ht="16.5" customHeight="1">
      <c r="P228" s="4"/>
      <c r="Q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</row>
    <row r="229" ht="16.5" customHeight="1">
      <c r="A229" s="38"/>
      <c r="C229" s="100"/>
      <c r="P229" s="4"/>
      <c r="Q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</row>
    <row r="230" ht="16.5" customHeight="1">
      <c r="P230" s="4"/>
      <c r="Q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</row>
    <row r="231" ht="16.5" customHeight="1">
      <c r="P231" s="4"/>
      <c r="Q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</row>
    <row r="232" ht="16.5" customHeight="1">
      <c r="P232" s="4"/>
      <c r="Q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</row>
    <row r="233" ht="16.5" customHeight="1">
      <c r="P233" s="4"/>
      <c r="Q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</row>
    <row r="234" ht="16.5" customHeight="1">
      <c r="P234" s="4"/>
      <c r="Q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</row>
    <row r="235" ht="16.5" customHeight="1">
      <c r="P235" s="4"/>
      <c r="Q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</row>
    <row r="236" ht="16.5" customHeight="1">
      <c r="P236" s="4"/>
      <c r="Q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</row>
    <row r="237" ht="16.5" customHeight="1">
      <c r="P237" s="4"/>
      <c r="Q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</row>
    <row r="238" ht="16.5" customHeight="1">
      <c r="P238" s="4"/>
      <c r="Q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</row>
    <row r="239" ht="16.5" customHeight="1">
      <c r="P239" s="4"/>
      <c r="Q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</row>
    <row r="240" ht="16.5" customHeight="1">
      <c r="P240" s="4"/>
      <c r="Q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</row>
    <row r="241" ht="16.5" customHeight="1">
      <c r="P241" s="4"/>
      <c r="Q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</row>
    <row r="242" ht="16.5" customHeight="1">
      <c r="P242" s="4"/>
      <c r="Q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</row>
    <row r="243" ht="16.5" customHeight="1">
      <c r="P243" s="4"/>
      <c r="Q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</row>
    <row r="244" ht="16.5" customHeight="1">
      <c r="P244" s="4"/>
      <c r="Q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</row>
    <row r="245" ht="16.5" customHeight="1">
      <c r="P245" s="4"/>
      <c r="Q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</row>
    <row r="246" ht="16.5" customHeight="1">
      <c r="P246" s="4"/>
      <c r="Q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</row>
    <row r="247" ht="16.5" customHeight="1">
      <c r="P247" s="4"/>
      <c r="Q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</row>
    <row r="248" ht="16.5" customHeight="1">
      <c r="P248" s="4"/>
      <c r="Q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</row>
    <row r="249" ht="16.5" customHeight="1">
      <c r="P249" s="4"/>
      <c r="Q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</row>
    <row r="250" ht="16.5" customHeight="1">
      <c r="P250" s="4"/>
      <c r="Q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</row>
    <row r="251" ht="16.5" customHeight="1">
      <c r="P251" s="4"/>
      <c r="Q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</row>
    <row r="252" ht="16.5" customHeight="1">
      <c r="P252" s="4"/>
      <c r="Q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</row>
    <row r="253" ht="16.5" customHeight="1">
      <c r="P253" s="4"/>
      <c r="Q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</row>
    <row r="254" ht="16.5" customHeight="1">
      <c r="P254" s="4"/>
      <c r="Q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</row>
    <row r="255" ht="16.5" customHeight="1">
      <c r="P255" s="4"/>
      <c r="Q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</row>
    <row r="256" ht="16.5" customHeight="1">
      <c r="P256" s="4"/>
      <c r="Q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</row>
    <row r="257" ht="16.5" customHeight="1">
      <c r="P257" s="4"/>
      <c r="Q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</row>
    <row r="258" ht="16.5" customHeight="1">
      <c r="P258" s="4"/>
      <c r="Q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</row>
    <row r="259" ht="16.5" customHeight="1">
      <c r="P259" s="4"/>
      <c r="Q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</row>
    <row r="260" ht="16.5" customHeight="1"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</row>
    <row r="261" ht="16.5" customHeight="1">
      <c r="A261" s="4"/>
      <c r="B261" s="4"/>
      <c r="C261" s="4"/>
      <c r="D261" s="4"/>
      <c r="E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</row>
    <row r="262" ht="16.5" customHeight="1">
      <c r="A262" s="4"/>
      <c r="B262" s="4"/>
      <c r="C262" s="4"/>
      <c r="D262" s="4"/>
      <c r="E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</row>
    <row r="263" ht="16.5" customHeight="1">
      <c r="A263" s="4"/>
      <c r="B263" s="4"/>
      <c r="C263" s="4"/>
      <c r="D263" s="4"/>
      <c r="E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</row>
    <row r="264" ht="16.5" customHeight="1">
      <c r="A264" s="4"/>
      <c r="B264" s="4"/>
      <c r="C264" s="4"/>
      <c r="D264" s="4"/>
      <c r="E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</row>
    <row r="265" ht="16.5" customHeight="1">
      <c r="A265" s="4"/>
      <c r="B265" s="4"/>
      <c r="C265" s="4"/>
      <c r="D265" s="4"/>
      <c r="E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</row>
    <row r="266" ht="16.5" customHeight="1">
      <c r="A266" s="4"/>
      <c r="B266" s="4"/>
      <c r="C266" s="4"/>
      <c r="D266" s="4"/>
      <c r="E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</row>
    <row r="267" ht="16.5" customHeight="1">
      <c r="A267" s="4"/>
      <c r="B267" s="4"/>
      <c r="C267" s="4"/>
      <c r="D267" s="4"/>
      <c r="E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</row>
    <row r="268" ht="16.5" customHeight="1">
      <c r="A268" s="4"/>
      <c r="B268" s="4"/>
      <c r="C268" s="4"/>
      <c r="D268" s="4"/>
      <c r="E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</row>
    <row r="269" ht="16.5" customHeight="1">
      <c r="A269" s="4"/>
      <c r="B269" s="4"/>
      <c r="C269" s="4"/>
      <c r="D269" s="4"/>
      <c r="E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</row>
    <row r="270" ht="16.5" customHeight="1">
      <c r="A270" s="4"/>
      <c r="B270" s="4"/>
      <c r="C270" s="4"/>
      <c r="D270" s="4"/>
      <c r="E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6">
    <mergeCell ref="E71:J71"/>
    <mergeCell ref="R71:T71"/>
    <mergeCell ref="H72:I72"/>
    <mergeCell ref="Y72:Z72"/>
    <mergeCell ref="A77:J77"/>
    <mergeCell ref="R77:AA77"/>
    <mergeCell ref="W79:AA79"/>
    <mergeCell ref="F79:J79"/>
    <mergeCell ref="A81:D81"/>
    <mergeCell ref="R81:U81"/>
    <mergeCell ref="A85:C85"/>
    <mergeCell ref="A86:D86"/>
    <mergeCell ref="R86:T86"/>
    <mergeCell ref="F87:J87"/>
    <mergeCell ref="A1:G2"/>
    <mergeCell ref="A3:C3"/>
    <mergeCell ref="I4:I13"/>
    <mergeCell ref="A7:C7"/>
    <mergeCell ref="R11:V11"/>
    <mergeCell ref="G13:G14"/>
    <mergeCell ref="R14:T14"/>
    <mergeCell ref="H41:M41"/>
    <mergeCell ref="A42:F42"/>
    <mergeCell ref="R42:W42"/>
    <mergeCell ref="G17:H17"/>
    <mergeCell ref="G18:H18"/>
    <mergeCell ref="A21:E21"/>
    <mergeCell ref="I24:I33"/>
    <mergeCell ref="G33:G34"/>
    <mergeCell ref="G37:H37"/>
    <mergeCell ref="G38:H38"/>
    <mergeCell ref="I59:J59"/>
    <mergeCell ref="R59:W59"/>
    <mergeCell ref="A51:B51"/>
    <mergeCell ref="A52:F52"/>
    <mergeCell ref="R52:W52"/>
    <mergeCell ref="I57:J57"/>
    <mergeCell ref="K57:L57"/>
    <mergeCell ref="K58:L58"/>
    <mergeCell ref="A59:F59"/>
    <mergeCell ref="A66:J66"/>
    <mergeCell ref="R66:AA66"/>
    <mergeCell ref="B67:C67"/>
    <mergeCell ref="F67:H67"/>
    <mergeCell ref="S67:T67"/>
    <mergeCell ref="W67:Y67"/>
    <mergeCell ref="A71:C71"/>
    <mergeCell ref="V71:AA71"/>
    <mergeCell ref="R87:U87"/>
    <mergeCell ref="W87:AA87"/>
    <mergeCell ref="B92:E92"/>
    <mergeCell ref="G92:I92"/>
    <mergeCell ref="S92:V92"/>
    <mergeCell ref="X92:Z92"/>
    <mergeCell ref="S98:T98"/>
    <mergeCell ref="M152:Q152"/>
    <mergeCell ref="M153:N153"/>
    <mergeCell ref="M157:N157"/>
    <mergeCell ref="S157:T157"/>
    <mergeCell ref="M162:N162"/>
    <mergeCell ref="S162:T162"/>
    <mergeCell ref="M166:N166"/>
    <mergeCell ref="S166:T166"/>
    <mergeCell ref="A153:B153"/>
    <mergeCell ref="A157:B157"/>
    <mergeCell ref="G157:H157"/>
    <mergeCell ref="A162:B162"/>
    <mergeCell ref="G162:H162"/>
    <mergeCell ref="A166:B166"/>
    <mergeCell ref="G166:H166"/>
    <mergeCell ref="O181:Q181"/>
    <mergeCell ref="U181:W181"/>
    <mergeCell ref="A176:B176"/>
    <mergeCell ref="G176:H176"/>
    <mergeCell ref="M176:N176"/>
    <mergeCell ref="S176:T176"/>
    <mergeCell ref="A180:B180"/>
    <mergeCell ref="C181:E181"/>
    <mergeCell ref="I181:K181"/>
    <mergeCell ref="M190:Q190"/>
    <mergeCell ref="P192:Q192"/>
    <mergeCell ref="P194:Q194"/>
    <mergeCell ref="D200:E200"/>
    <mergeCell ref="M203:P203"/>
    <mergeCell ref="A204:E204"/>
    <mergeCell ref="F204:J204"/>
    <mergeCell ref="A212:B212"/>
    <mergeCell ref="A220:B220"/>
    <mergeCell ref="A225:B225"/>
    <mergeCell ref="A229:B229"/>
    <mergeCell ref="A205:B205"/>
    <mergeCell ref="F205:G205"/>
    <mergeCell ref="M208:Q208"/>
    <mergeCell ref="P210:Q210"/>
    <mergeCell ref="A211:E211"/>
    <mergeCell ref="M214:Q214"/>
    <mergeCell ref="M215:N215"/>
    <mergeCell ref="B98:C98"/>
    <mergeCell ref="B101:C101"/>
    <mergeCell ref="S101:T101"/>
    <mergeCell ref="A104:W104"/>
    <mergeCell ref="A105:E105"/>
    <mergeCell ref="G105:K105"/>
    <mergeCell ref="M105:Q105"/>
    <mergeCell ref="S105:W105"/>
    <mergeCell ref="A121:W121"/>
    <mergeCell ref="A122:E122"/>
    <mergeCell ref="G122:K122"/>
    <mergeCell ref="M122:Q122"/>
    <mergeCell ref="S122:W122"/>
    <mergeCell ref="A134:D134"/>
    <mergeCell ref="S134:V134"/>
    <mergeCell ref="G134:J134"/>
    <mergeCell ref="M134:P134"/>
    <mergeCell ref="A139:E139"/>
    <mergeCell ref="G139:K139"/>
    <mergeCell ref="M139:Q139"/>
    <mergeCell ref="S139:W139"/>
    <mergeCell ref="D141:E141"/>
    <mergeCell ref="V141:W141"/>
    <mergeCell ref="J141:K141"/>
    <mergeCell ref="P141:Q141"/>
    <mergeCell ref="A145:E145"/>
    <mergeCell ref="G145:K145"/>
    <mergeCell ref="S145:W145"/>
    <mergeCell ref="A146:B146"/>
    <mergeCell ref="G146:H146"/>
    <mergeCell ref="S146:T146"/>
    <mergeCell ref="M145:Q145"/>
    <mergeCell ref="M146:N146"/>
    <mergeCell ref="A152:E152"/>
    <mergeCell ref="G152:K152"/>
    <mergeCell ref="S152:W152"/>
    <mergeCell ref="G153:H153"/>
    <mergeCell ref="S153:T153"/>
    <mergeCell ref="A172:E172"/>
    <mergeCell ref="G172:K172"/>
    <mergeCell ref="M172:Q172"/>
    <mergeCell ref="S172:W172"/>
    <mergeCell ref="A184:E184"/>
    <mergeCell ref="G184:K184"/>
    <mergeCell ref="M184:Q184"/>
    <mergeCell ref="G185:H185"/>
    <mergeCell ref="D186:E186"/>
    <mergeCell ref="P187:Q187"/>
    <mergeCell ref="D188:E188"/>
  </mergeCells>
  <dataValidations>
    <dataValidation type="list" allowBlank="1" showErrorMessage="1" sqref="H101">
      <formula1>$AT$94:$AV$94</formula1>
    </dataValidation>
    <dataValidation type="list" allowBlank="1" showErrorMessage="1" sqref="B67 S67">
      <formula1>$AS$61:$AS$62</formula1>
    </dataValidation>
    <dataValidation type="list" allowBlank="1" showErrorMessage="1" sqref="U14">
      <formula1>$AS$11:$AS$15</formula1>
    </dataValidation>
    <dataValidation type="list" allowBlank="1" showErrorMessage="1" sqref="AR22 B39 AP64 J72 AA72">
      <formula1>$AS$67:$AS$68</formula1>
    </dataValidation>
    <dataValidation type="list" allowBlank="1" showErrorMessage="1" sqref="C146 I146 O146 U146 C157 I157 O157 U157 C166 I166 O166 U166 I185 H205 C212 C220 C229">
      <formula1>$AH$184:$AH$192</formula1>
    </dataValidation>
    <dataValidation type="list" allowBlank="1" showErrorMessage="1" sqref="S12">
      <formula1>$AS$6:$AS$9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1.38"/>
    <col customWidth="1" min="8" max="8" width="12.88"/>
    <col customWidth="1" min="9" max="27" width="11.38"/>
    <col customWidth="1" min="28" max="28" width="4.63"/>
    <col customWidth="1" min="29" max="29" width="5.13"/>
    <col customWidth="1" min="30" max="30" width="4.25"/>
    <col customWidth="1" min="31" max="31" width="4.0"/>
    <col customWidth="1" min="32" max="33" width="11.38"/>
    <col customWidth="1" min="34" max="34" width="8.13"/>
    <col customWidth="1" min="35" max="35" width="4.13"/>
    <col customWidth="1" min="36" max="36" width="5.63"/>
    <col customWidth="1" min="37" max="37" width="4.0"/>
    <col customWidth="1" min="38" max="39" width="11.38"/>
    <col customWidth="1" min="40" max="40" width="6.0"/>
    <col customWidth="1" min="41" max="49" width="11.38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ht="15.75" customHeight="1">
      <c r="A2" s="9" t="s">
        <v>1</v>
      </c>
      <c r="B2" s="10"/>
      <c r="C2" s="10"/>
      <c r="D2" s="10"/>
      <c r="E2" s="10"/>
      <c r="F2" s="6"/>
      <c r="G2" s="9" t="s">
        <v>2</v>
      </c>
      <c r="H2" s="10"/>
      <c r="I2" s="10"/>
      <c r="J2" s="10"/>
      <c r="K2" s="10"/>
      <c r="L2" s="10"/>
      <c r="M2" s="6"/>
      <c r="N2" s="9" t="s">
        <v>3</v>
      </c>
      <c r="O2" s="10"/>
      <c r="P2" s="10"/>
      <c r="Q2" s="10"/>
      <c r="R2" s="10"/>
      <c r="S2" s="10"/>
      <c r="T2" s="6"/>
      <c r="U2" s="9" t="s">
        <v>4</v>
      </c>
      <c r="V2" s="10"/>
      <c r="W2" s="10"/>
      <c r="X2" s="10"/>
      <c r="Y2" s="10"/>
      <c r="Z2" s="10"/>
      <c r="AA2" s="12"/>
      <c r="AB2" s="9" t="s">
        <v>5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6"/>
      <c r="AO2" s="6"/>
      <c r="AP2" s="6"/>
      <c r="AQ2" s="9" t="s">
        <v>6</v>
      </c>
      <c r="AR2" s="10"/>
      <c r="AS2" s="10"/>
      <c r="AT2" s="10"/>
      <c r="AU2" s="10"/>
      <c r="AV2" s="10"/>
      <c r="AW2" s="6"/>
    </row>
    <row r="3" ht="15.75" customHeight="1">
      <c r="A3" s="6"/>
      <c r="B3" s="6"/>
      <c r="C3" s="6"/>
      <c r="D3" s="13" t="s">
        <v>7</v>
      </c>
      <c r="E3" s="10"/>
      <c r="F3" s="6"/>
      <c r="G3" s="6"/>
      <c r="H3" s="6"/>
      <c r="I3" s="6"/>
      <c r="J3" s="6"/>
      <c r="K3" s="13" t="s">
        <v>8</v>
      </c>
      <c r="L3" s="10"/>
      <c r="M3" s="6"/>
      <c r="N3" s="6"/>
      <c r="O3" s="6"/>
      <c r="P3" s="6"/>
      <c r="Q3" s="6"/>
      <c r="R3" s="13" t="s">
        <v>9</v>
      </c>
      <c r="S3" s="10"/>
      <c r="T3" s="6"/>
      <c r="U3" s="6"/>
      <c r="V3" s="6"/>
      <c r="W3" s="6"/>
      <c r="X3" s="6"/>
      <c r="Y3" s="13" t="s">
        <v>10</v>
      </c>
      <c r="Z3" s="10"/>
      <c r="AA3" s="14"/>
      <c r="AB3" s="14"/>
      <c r="AC3" s="14"/>
      <c r="AD3" s="6"/>
      <c r="AE3" s="6"/>
      <c r="AF3" s="6"/>
      <c r="AG3" s="6"/>
      <c r="AH3" s="6"/>
      <c r="AI3" s="6"/>
      <c r="AJ3" s="6"/>
      <c r="AK3" s="13" t="s">
        <v>7</v>
      </c>
      <c r="AL3" s="10"/>
      <c r="AM3" s="6"/>
      <c r="AN3" s="6"/>
      <c r="AO3" s="6"/>
      <c r="AP3" s="6"/>
      <c r="AQ3" s="6"/>
      <c r="AR3" s="6"/>
      <c r="AS3" s="6"/>
      <c r="AT3" s="6"/>
      <c r="AU3" s="15" t="s">
        <v>11</v>
      </c>
      <c r="AV3" s="10"/>
      <c r="AW3" s="6"/>
    </row>
    <row r="4" ht="15.75" customHeight="1">
      <c r="A4" s="16"/>
      <c r="B4" s="16"/>
      <c r="C4" s="17">
        <f>CALCULO!J43</f>
        <v>0.2</v>
      </c>
      <c r="D4" s="16"/>
      <c r="E4" s="16"/>
      <c r="F4" s="6"/>
      <c r="G4" s="6"/>
      <c r="H4" s="6"/>
      <c r="I4" s="6"/>
      <c r="J4" s="18">
        <f>CALCULO!AW95</f>
        <v>0.5247863602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16"/>
      <c r="AF4" s="16"/>
      <c r="AG4" s="17"/>
      <c r="AH4" s="17"/>
      <c r="AI4" s="17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ht="15.75" customHeight="1">
      <c r="A5" s="16"/>
      <c r="B5" s="16"/>
      <c r="C5" s="16"/>
      <c r="D5" s="20">
        <f>CALCULO!L48</f>
        <v>4</v>
      </c>
      <c r="E5" s="1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16"/>
      <c r="AF5" s="16"/>
      <c r="AG5" s="16"/>
      <c r="AH5" s="16"/>
      <c r="AI5" s="16"/>
      <c r="AJ5" s="22"/>
      <c r="AK5" s="1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ht="15.75" customHeight="1">
      <c r="A6" s="16"/>
      <c r="B6" s="16"/>
      <c r="C6" s="16"/>
      <c r="E6" s="1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16"/>
      <c r="AF6" s="16"/>
      <c r="AG6" s="16"/>
      <c r="AH6" s="24">
        <f>CALCULO!A161</f>
        <v>1</v>
      </c>
      <c r="AI6" s="25" t="s">
        <v>13</v>
      </c>
      <c r="AJ6" s="26" t="str">
        <f>CALCULO!C157</f>
        <v>5/8"</v>
      </c>
      <c r="AK6" s="27" t="s">
        <v>14</v>
      </c>
      <c r="AL6" s="28">
        <f>CALCULO!E161</f>
        <v>25</v>
      </c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ht="15.75" customHeight="1">
      <c r="A7" s="16"/>
      <c r="B7" s="16"/>
      <c r="C7" s="16"/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16"/>
      <c r="AF7" s="16"/>
      <c r="AG7" s="16"/>
      <c r="AH7" s="16"/>
      <c r="AI7" s="16"/>
      <c r="AJ7" s="22"/>
      <c r="AK7" s="1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ht="15.75" customHeight="1">
      <c r="A8" s="16"/>
      <c r="B8" s="16"/>
      <c r="C8" s="16"/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f>CALCULO!A170</f>
        <v>1</v>
      </c>
      <c r="AC8" s="25" t="s">
        <v>13</v>
      </c>
      <c r="AD8" s="30" t="str">
        <f>CALCULO!C170</f>
        <v>5/8"</v>
      </c>
      <c r="AE8" s="27" t="s">
        <v>14</v>
      </c>
      <c r="AF8" s="28">
        <f>CALCULO!E170</f>
        <v>25</v>
      </c>
      <c r="AG8" s="16"/>
      <c r="AH8" s="16"/>
      <c r="AI8" s="16"/>
      <c r="AJ8" s="22"/>
      <c r="AK8" s="16"/>
      <c r="AL8" s="6"/>
      <c r="AM8" s="6"/>
      <c r="AN8" s="6"/>
      <c r="AO8" s="6"/>
      <c r="AP8" s="6"/>
      <c r="AQ8" s="6"/>
      <c r="AR8" s="35" t="s">
        <v>16</v>
      </c>
      <c r="AS8" s="6"/>
      <c r="AT8" s="6"/>
      <c r="AU8" s="6"/>
      <c r="AV8" s="6"/>
      <c r="AW8" s="6"/>
    </row>
    <row r="9" ht="15.75" customHeight="1">
      <c r="A9" s="16"/>
      <c r="B9" s="16"/>
      <c r="C9" s="16"/>
      <c r="E9" s="16"/>
      <c r="F9" s="6"/>
      <c r="G9" s="6"/>
      <c r="H9" s="6"/>
      <c r="I9" s="6"/>
      <c r="J9" s="6"/>
      <c r="K9" s="37">
        <f>CALCULO!U94</f>
        <v>1.374974237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16"/>
      <c r="AF9" s="16"/>
      <c r="AG9" s="16"/>
      <c r="AH9" s="16"/>
      <c r="AI9" s="16"/>
      <c r="AJ9" s="22"/>
      <c r="AK9" s="1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</row>
    <row r="10" ht="15.75" customHeight="1">
      <c r="A10" s="16"/>
      <c r="B10" s="16"/>
      <c r="C10" s="16"/>
      <c r="E10" s="1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16"/>
      <c r="AF10" s="16"/>
      <c r="AG10" s="16"/>
      <c r="AH10" s="16"/>
      <c r="AI10" s="16"/>
      <c r="AJ10" s="22"/>
      <c r="AK10" s="1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ht="15.75" customHeight="1">
      <c r="A11" s="16"/>
      <c r="B11" s="16"/>
      <c r="C11" s="16"/>
      <c r="E11" s="1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f>CALCULO!A217</f>
        <v>1</v>
      </c>
      <c r="AC11" s="25" t="s">
        <v>13</v>
      </c>
      <c r="AD11" s="30" t="str">
        <f>CALCULO!C217</f>
        <v>3/4"</v>
      </c>
      <c r="AE11" s="27" t="s">
        <v>14</v>
      </c>
      <c r="AF11" s="28">
        <f>CALCULO!E217</f>
        <v>20</v>
      </c>
      <c r="AG11" s="16"/>
      <c r="AH11" s="16"/>
      <c r="AI11" s="16"/>
      <c r="AJ11" s="22"/>
      <c r="AK11" s="1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ht="15.75" customHeight="1">
      <c r="A12" s="44">
        <f>CALCULO!H52</f>
        <v>0.2</v>
      </c>
      <c r="B12" s="16"/>
      <c r="C12" s="16"/>
      <c r="E12" s="1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44"/>
      <c r="AF12" s="16"/>
      <c r="AG12" s="16"/>
      <c r="AH12" s="16"/>
      <c r="AI12" s="16"/>
      <c r="AJ12" s="22"/>
      <c r="AK12" s="1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ht="15.75" customHeight="1">
      <c r="A13" s="16"/>
      <c r="B13" s="16"/>
      <c r="C13" s="16"/>
      <c r="E13" s="1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16"/>
      <c r="AF13" s="16"/>
      <c r="AG13" s="16"/>
      <c r="AH13" s="24">
        <f>1</f>
        <v>1</v>
      </c>
      <c r="AI13" s="25" t="s">
        <v>13</v>
      </c>
      <c r="AJ13" s="26" t="str">
        <f>CALCULO!C151</f>
        <v>1"</v>
      </c>
      <c r="AK13" s="27" t="s">
        <v>14</v>
      </c>
      <c r="AL13" s="28">
        <f>CALCULO!E151</f>
        <v>20</v>
      </c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ht="15.75" customHeight="1">
      <c r="A14" s="16"/>
      <c r="B14" s="50"/>
      <c r="C14" s="16"/>
      <c r="E14" s="16"/>
      <c r="F14" s="6"/>
      <c r="G14" s="6"/>
      <c r="H14" s="6" t="s">
        <v>16</v>
      </c>
      <c r="I14" s="6"/>
      <c r="J14" s="6"/>
      <c r="K14" s="37">
        <f>CALCULO!AW96</f>
        <v>2.794487368</v>
      </c>
      <c r="L14" s="6"/>
      <c r="M14" s="6"/>
      <c r="N14" s="6"/>
      <c r="O14" s="6" t="s">
        <v>16</v>
      </c>
      <c r="P14" s="6"/>
      <c r="Q14" s="6"/>
      <c r="R14" s="37">
        <f>CALCULO!B119</f>
        <v>20.7263439</v>
      </c>
      <c r="S14" s="6"/>
      <c r="T14" s="6"/>
      <c r="U14" s="6"/>
      <c r="V14" s="6" t="s">
        <v>16</v>
      </c>
      <c r="W14" s="6"/>
      <c r="X14" s="6"/>
      <c r="Y14" s="37">
        <f>CALCULO!B120</f>
        <v>11.23531636</v>
      </c>
      <c r="Z14" s="6"/>
      <c r="AA14" s="6"/>
      <c r="AB14" s="6"/>
      <c r="AC14" s="6"/>
      <c r="AD14" s="6"/>
      <c r="AE14" s="16"/>
      <c r="AF14" s="50"/>
      <c r="AG14" s="16"/>
      <c r="AH14" s="16"/>
      <c r="AI14" s="16"/>
      <c r="AJ14" s="22"/>
      <c r="AK14" s="16"/>
      <c r="AL14" s="6"/>
      <c r="AM14" s="6"/>
      <c r="AN14" s="6"/>
      <c r="AO14" s="6"/>
      <c r="AP14" s="6"/>
      <c r="AQ14" s="35" t="s">
        <v>29</v>
      </c>
      <c r="AR14" s="6"/>
      <c r="AS14" s="6"/>
      <c r="AT14" s="37">
        <f>CALCULO!D143</f>
        <v>16.07551643</v>
      </c>
      <c r="AU14" s="37">
        <f>CALCULO!P143</f>
        <v>12</v>
      </c>
      <c r="AV14" s="6"/>
      <c r="AW14" s="6"/>
    </row>
    <row r="15" ht="15.75" customHeight="1">
      <c r="A15" s="16"/>
      <c r="C15" s="16"/>
      <c r="D15" s="16"/>
      <c r="E15" s="1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16"/>
      <c r="AG15" s="16"/>
      <c r="AH15" s="16"/>
      <c r="AI15" s="16"/>
      <c r="AJ15" s="16"/>
      <c r="AK15" s="1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ht="15.75" customHeight="1">
      <c r="A16" s="16"/>
      <c r="B16" s="16"/>
      <c r="C16" s="16"/>
      <c r="D16" s="16"/>
      <c r="E16" s="44">
        <f>CALCULO!M55</f>
        <v>0.7</v>
      </c>
      <c r="F16" s="6"/>
      <c r="G16" s="6"/>
      <c r="H16" s="6"/>
      <c r="I16" s="6"/>
      <c r="J16" s="6"/>
      <c r="K16" s="18">
        <f>CALCULO!AW103</f>
        <v>8.52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16"/>
      <c r="AF16" s="16"/>
      <c r="AG16" s="16"/>
      <c r="AH16" s="16"/>
      <c r="AI16" s="16"/>
      <c r="AJ16" s="16"/>
      <c r="AK16" s="63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</row>
    <row r="17" ht="15.75" customHeight="1">
      <c r="A17" s="16"/>
      <c r="B17" s="16"/>
      <c r="C17" s="16"/>
      <c r="D17" s="16"/>
      <c r="E17" s="16"/>
      <c r="F17" s="6"/>
      <c r="G17" s="6" t="s">
        <v>29</v>
      </c>
      <c r="H17" s="6"/>
      <c r="I17" s="6"/>
      <c r="J17" s="6" t="s">
        <v>35</v>
      </c>
      <c r="K17" s="6"/>
      <c r="L17" s="6"/>
      <c r="M17" s="6"/>
      <c r="N17" s="6" t="s">
        <v>29</v>
      </c>
      <c r="O17" s="66">
        <f>CALCULO!H119</f>
        <v>81.24829823</v>
      </c>
      <c r="P17" s="6"/>
      <c r="Q17" s="6" t="s">
        <v>35</v>
      </c>
      <c r="R17" s="37">
        <f>CALCULO!N119</f>
        <v>4.126048231</v>
      </c>
      <c r="S17" s="6"/>
      <c r="T17" s="6"/>
      <c r="U17" s="6" t="s">
        <v>29</v>
      </c>
      <c r="V17" s="66">
        <f>CALCULO!H120</f>
        <v>39.56790234</v>
      </c>
      <c r="W17" s="6"/>
      <c r="X17" s="6" t="s">
        <v>35</v>
      </c>
      <c r="Y17" s="37">
        <f>CALCULO!N120</f>
        <v>2.980192748</v>
      </c>
      <c r="Z17" s="6"/>
      <c r="AA17" s="6"/>
      <c r="AB17" s="6"/>
      <c r="AC17" s="6"/>
      <c r="AD17" s="6"/>
      <c r="AE17" s="16"/>
      <c r="AF17" s="16"/>
      <c r="AG17" s="16"/>
      <c r="AH17" s="16"/>
      <c r="AI17" s="16"/>
      <c r="AJ17" s="16"/>
      <c r="AK17" s="16"/>
      <c r="AL17" s="6"/>
      <c r="AM17" s="71" t="s">
        <v>38</v>
      </c>
      <c r="AP17" s="6"/>
      <c r="AQ17" s="6"/>
      <c r="AR17" s="6"/>
      <c r="AS17" s="6"/>
      <c r="AT17" s="6"/>
      <c r="AU17" s="6"/>
      <c r="AV17" s="6"/>
      <c r="AW17" s="6"/>
    </row>
    <row r="18" ht="15.75" customHeight="1">
      <c r="A18" s="17">
        <f>CALCULO!H58</f>
        <v>3.5</v>
      </c>
      <c r="B18" s="17">
        <f>CALCULO!I57</f>
        <v>0.4</v>
      </c>
      <c r="D18" s="16">
        <f>CALCULO!K58</f>
        <v>1</v>
      </c>
      <c r="E18" s="1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17"/>
      <c r="AF18" s="17"/>
      <c r="AH18" s="77">
        <f>CALCULO!A210</f>
        <v>1</v>
      </c>
      <c r="AI18" s="25" t="s">
        <v>13</v>
      </c>
      <c r="AJ18" s="78" t="str">
        <f>CALCULO!C210</f>
        <v>1"</v>
      </c>
      <c r="AK18" s="27" t="s">
        <v>14</v>
      </c>
      <c r="AL18" s="28">
        <f>CALCULO!E151</f>
        <v>20</v>
      </c>
      <c r="AM18" s="78" t="s">
        <v>49</v>
      </c>
      <c r="AN18" s="78">
        <f>CALCULO!B187</f>
        <v>0</v>
      </c>
      <c r="AO18" s="6" t="s">
        <v>42</v>
      </c>
      <c r="AP18" s="6"/>
      <c r="AQ18" s="6"/>
      <c r="AR18" s="66">
        <f>CALCULO!J143</f>
        <v>38.77123219</v>
      </c>
      <c r="AS18" s="6"/>
      <c r="AT18" s="6"/>
      <c r="AU18" s="35" t="s">
        <v>35</v>
      </c>
      <c r="AV18" s="6"/>
      <c r="AW18" s="6"/>
    </row>
    <row r="19" ht="15.75" customHeight="1">
      <c r="A19" s="44"/>
      <c r="B19" s="17">
        <f>CALCULO!I59</f>
        <v>4.9</v>
      </c>
      <c r="D19" s="16"/>
      <c r="E19" s="1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44"/>
      <c r="AF19" s="17"/>
      <c r="AH19" s="17"/>
      <c r="AI19" s="17"/>
      <c r="AJ19" s="16"/>
      <c r="AK19" s="1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27"/>
      <c r="AL20" s="6"/>
      <c r="AM20" s="6"/>
      <c r="AN20" s="6"/>
      <c r="AO20" s="6"/>
      <c r="AP20" s="6"/>
      <c r="AQ20" s="6"/>
      <c r="AR20" s="6"/>
      <c r="AS20" s="83" t="s">
        <v>56</v>
      </c>
      <c r="AT20" s="6"/>
      <c r="AU20" s="6"/>
      <c r="AV20" s="6"/>
      <c r="AW20" s="6"/>
    </row>
    <row r="21" ht="15.75" customHeight="1">
      <c r="A21" s="6" t="str">
        <f>CALCULO!B67</f>
        <v>EN EL CENTRO</v>
      </c>
      <c r="B21" s="6"/>
      <c r="C21" s="8">
        <f>CALCULO!I67</f>
        <v>0.4</v>
      </c>
      <c r="D21" s="4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f>CALCULO!G190</f>
        <v>1</v>
      </c>
      <c r="AC21" s="25" t="s">
        <v>13</v>
      </c>
      <c r="AD21" s="30" t="str">
        <f>CALCULO!I190</f>
        <v>3/4"</v>
      </c>
      <c r="AE21" s="27" t="s">
        <v>14</v>
      </c>
      <c r="AF21" s="89">
        <f>CALCULO!K190</f>
        <v>20</v>
      </c>
      <c r="AG21" s="8"/>
      <c r="AH21" s="90">
        <f>CALCULO!M151</f>
        <v>1</v>
      </c>
      <c r="AI21" s="25" t="s">
        <v>13</v>
      </c>
      <c r="AJ21" s="30" t="str">
        <f>CALCULO!O151</f>
        <v>5/8"</v>
      </c>
      <c r="AK21" s="27" t="s">
        <v>14</v>
      </c>
      <c r="AL21" s="18">
        <f>CALCULO!Q151</f>
        <v>17</v>
      </c>
      <c r="AM21" s="89" t="s">
        <v>62</v>
      </c>
      <c r="AP21" s="6"/>
      <c r="AQ21" s="6"/>
      <c r="AR21" s="6"/>
      <c r="AS21" s="6"/>
      <c r="AT21" s="37">
        <f>CALCULO!V143</f>
        <v>6</v>
      </c>
      <c r="AU21" s="6"/>
      <c r="AV21" s="6"/>
      <c r="AW21" s="6"/>
    </row>
    <row r="22" ht="15.75" customHeight="1">
      <c r="A22" s="6"/>
      <c r="B22" s="6"/>
      <c r="C22" s="4"/>
      <c r="D22" s="4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f>CALCULO!G161</f>
        <v>1</v>
      </c>
      <c r="AC22" s="25" t="s">
        <v>13</v>
      </c>
      <c r="AD22" s="30" t="str">
        <f>CALCULO!I161</f>
        <v>5/8"</v>
      </c>
      <c r="AE22" s="27" t="s">
        <v>14</v>
      </c>
      <c r="AF22" s="89">
        <f>CALCULO!K161</f>
        <v>25</v>
      </c>
      <c r="AG22" s="4"/>
      <c r="AH22" s="90">
        <f>CALCULO!M161</f>
        <v>1</v>
      </c>
      <c r="AI22" s="25" t="s">
        <v>13</v>
      </c>
      <c r="AJ22" s="30" t="str">
        <f>CALCULO!O161</f>
        <v>1/2"</v>
      </c>
      <c r="AK22" s="27" t="s">
        <v>14</v>
      </c>
      <c r="AL22" s="18">
        <f>CALCULO!Q161</f>
        <v>21</v>
      </c>
      <c r="AM22" s="78" t="s">
        <v>65</v>
      </c>
      <c r="AN22" s="24">
        <f>CALCULO!N186</f>
        <v>0</v>
      </c>
      <c r="AO22" s="6" t="s">
        <v>42</v>
      </c>
      <c r="AP22" s="6"/>
      <c r="AQ22" s="6"/>
      <c r="AR22" s="6"/>
      <c r="AS22" s="6"/>
      <c r="AT22" s="6"/>
      <c r="AU22" s="6"/>
      <c r="AV22" s="6"/>
      <c r="AW22" s="6"/>
    </row>
    <row r="23" ht="15.75" customHeight="1">
      <c r="A23" s="6"/>
      <c r="B23" s="6"/>
      <c r="C23" s="1"/>
      <c r="D23" s="8">
        <f>CALCULO!J70</f>
        <v>0</v>
      </c>
      <c r="E23" s="6"/>
      <c r="F23" s="6"/>
      <c r="G23" s="37">
        <f>CALCULO!AW100</f>
        <v>1.784861216</v>
      </c>
      <c r="H23" s="97">
        <f>CALCULO!AW99</f>
        <v>5.312092186</v>
      </c>
      <c r="I23" s="6"/>
      <c r="J23" s="6"/>
      <c r="K23" s="37">
        <f>CALCULO!AW105</f>
        <v>2.691665051</v>
      </c>
      <c r="L23" s="37">
        <f>CALCULO!AW104</f>
        <v>6.228200009</v>
      </c>
      <c r="M23" s="6"/>
      <c r="N23" s="6"/>
      <c r="O23" s="6"/>
      <c r="P23" s="6"/>
      <c r="Q23" s="6"/>
      <c r="R23" s="89"/>
      <c r="S23" s="89"/>
      <c r="T23" s="6"/>
      <c r="U23" s="6"/>
      <c r="V23" s="6"/>
      <c r="W23" s="6"/>
      <c r="X23" s="6"/>
      <c r="Y23" s="89"/>
      <c r="Z23" s="89"/>
      <c r="AA23" s="89"/>
      <c r="AB23" s="89"/>
      <c r="AC23" s="89"/>
      <c r="AD23" s="6"/>
      <c r="AE23" s="6"/>
      <c r="AF23" s="6"/>
      <c r="AG23" s="1"/>
      <c r="AH23" s="1"/>
      <c r="AI23" s="1"/>
      <c r="AJ23" s="8"/>
      <c r="AK23" s="6"/>
      <c r="AL23" s="6"/>
      <c r="AM23" s="78" t="s">
        <v>73</v>
      </c>
      <c r="AN23" s="99">
        <f>CALCULO!P188</f>
        <v>0</v>
      </c>
      <c r="AO23" s="6" t="s">
        <v>74</v>
      </c>
      <c r="AP23" s="6"/>
      <c r="AQ23" s="6"/>
      <c r="AR23" s="6"/>
      <c r="AS23" s="6"/>
      <c r="AT23" s="6"/>
      <c r="AU23" s="89"/>
      <c r="AV23" s="89"/>
      <c r="AW23" s="6"/>
    </row>
    <row r="24" ht="15.75" customHeight="1">
      <c r="A24" s="6"/>
      <c r="B24" s="6"/>
      <c r="C24" s="1"/>
      <c r="D24" s="8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 t="s">
        <v>56</v>
      </c>
      <c r="Q24" s="6"/>
      <c r="R24" s="6"/>
      <c r="S24" s="6"/>
      <c r="T24" s="6"/>
      <c r="U24" s="6"/>
      <c r="V24" s="6"/>
      <c r="W24" s="6" t="s">
        <v>56</v>
      </c>
      <c r="X24" s="6"/>
      <c r="Y24" s="6"/>
      <c r="Z24" s="6"/>
      <c r="AA24" s="6"/>
      <c r="AB24" s="6"/>
      <c r="AC24" s="6"/>
      <c r="AD24" s="6"/>
      <c r="AE24" s="6"/>
      <c r="AF24" s="6"/>
      <c r="AG24" s="1"/>
      <c r="AH24" s="1"/>
      <c r="AI24" s="1"/>
      <c r="AJ24" s="8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 t="s">
        <v>56</v>
      </c>
      <c r="J25" s="6"/>
      <c r="K25" s="6"/>
      <c r="L25" s="6"/>
      <c r="M25" s="6"/>
      <c r="N25" s="6"/>
      <c r="O25" s="6"/>
      <c r="P25" s="6"/>
      <c r="Q25" s="6"/>
      <c r="R25" s="37">
        <f>CALCULO!U116</f>
        <v>0</v>
      </c>
      <c r="S25" s="6"/>
      <c r="T25" s="6"/>
      <c r="U25" s="6"/>
      <c r="V25" s="6"/>
      <c r="W25" s="6"/>
      <c r="X25" s="6"/>
      <c r="Y25" s="37">
        <f>CALCULO!U117</f>
        <v>0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</row>
    <row r="26" ht="15.75" customHeight="1">
      <c r="A26" s="14"/>
      <c r="F26" s="6"/>
      <c r="G26" s="6"/>
      <c r="H26" s="6"/>
      <c r="I26" s="6"/>
      <c r="J26" s="6"/>
      <c r="K26" s="37">
        <f>CALCULO!AW107</f>
        <v>3.260563254</v>
      </c>
      <c r="L26" s="6"/>
      <c r="M26" s="6"/>
      <c r="N26" s="6"/>
      <c r="O26" s="6"/>
      <c r="P26" s="6"/>
      <c r="Q26" s="6"/>
      <c r="R26" s="89"/>
      <c r="S26" s="6"/>
      <c r="T26" s="6"/>
      <c r="U26" s="6"/>
      <c r="V26" s="6"/>
      <c r="W26" s="6"/>
      <c r="X26" s="6"/>
      <c r="Y26" s="89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71" t="s">
        <v>82</v>
      </c>
      <c r="AP26" s="6"/>
      <c r="AQ26" s="6"/>
      <c r="AR26" s="6"/>
      <c r="AS26" s="6"/>
      <c r="AT26" s="6"/>
      <c r="AU26" s="6"/>
      <c r="AV26" s="6"/>
      <c r="AW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89"/>
      <c r="L27" s="6"/>
      <c r="M27" s="6"/>
      <c r="N27" s="6"/>
      <c r="O27" s="6"/>
      <c r="P27" s="6"/>
      <c r="Q27" s="6"/>
      <c r="R27" s="89"/>
      <c r="S27" s="6"/>
      <c r="T27" s="6"/>
      <c r="U27" s="6"/>
      <c r="V27" s="6"/>
      <c r="W27" s="6"/>
      <c r="X27" s="6"/>
      <c r="Y27" s="89"/>
      <c r="Z27" s="6"/>
      <c r="AA27" s="6"/>
      <c r="AB27" s="6">
        <f>CALCULO!G170</f>
        <v>1</v>
      </c>
      <c r="AC27" s="25" t="s">
        <v>13</v>
      </c>
      <c r="AD27" s="30" t="str">
        <f>CALCULO!I170</f>
        <v>3/4"</v>
      </c>
      <c r="AE27" s="27" t="s">
        <v>14</v>
      </c>
      <c r="AF27" s="89">
        <f>CALCULO!K170</f>
        <v>25</v>
      </c>
      <c r="AG27" s="6"/>
      <c r="AH27" s="6">
        <f>CALCULO!M170</f>
        <v>1</v>
      </c>
      <c r="AI27" s="25" t="s">
        <v>13</v>
      </c>
      <c r="AJ27" s="30" t="str">
        <f>CALCULO!O170</f>
        <v>1/2"</v>
      </c>
      <c r="AK27" s="27" t="s">
        <v>14</v>
      </c>
      <c r="AL27" s="18">
        <f>CALCULO!Q170</f>
        <v>21</v>
      </c>
      <c r="AM27" s="105" t="s">
        <v>89</v>
      </c>
      <c r="AN27" s="6">
        <f>CALCULO!N193</f>
        <v>0</v>
      </c>
      <c r="AO27" s="6" t="s">
        <v>42</v>
      </c>
      <c r="AP27" s="6"/>
      <c r="AQ27" s="6"/>
      <c r="AR27" s="6"/>
      <c r="AS27" s="6"/>
      <c r="AT27" s="6"/>
      <c r="AU27" s="6"/>
      <c r="AV27" s="6"/>
      <c r="AW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89"/>
      <c r="L28" s="6"/>
      <c r="M28" s="6"/>
      <c r="N28" s="6"/>
      <c r="O28" s="6"/>
      <c r="P28" s="6"/>
      <c r="Q28" s="6"/>
      <c r="R28" s="89"/>
      <c r="S28" s="6"/>
      <c r="T28" s="6"/>
      <c r="U28" s="6"/>
      <c r="V28" s="6"/>
      <c r="W28" s="6"/>
      <c r="X28" s="6"/>
      <c r="Y28" s="89"/>
      <c r="Z28" s="6"/>
      <c r="AA28" s="6"/>
      <c r="AB28" s="90">
        <f>CALCULO!G151</f>
        <v>1</v>
      </c>
      <c r="AC28" s="25" t="s">
        <v>13</v>
      </c>
      <c r="AD28" s="30" t="str">
        <f>CALCULO!I151</f>
        <v>3/4"</v>
      </c>
      <c r="AE28" s="27" t="s">
        <v>14</v>
      </c>
      <c r="AF28" s="18">
        <f>CALCULO!K151</f>
        <v>7</v>
      </c>
      <c r="AG28" s="6"/>
      <c r="AH28" s="6">
        <f>CALCULO!G190</f>
        <v>1</v>
      </c>
      <c r="AI28" s="25" t="s">
        <v>13</v>
      </c>
      <c r="AJ28" s="30" t="str">
        <f>CALCULO!I190</f>
        <v>3/4"</v>
      </c>
      <c r="AK28" s="27" t="s">
        <v>14</v>
      </c>
      <c r="AL28" s="89">
        <f>CALCULO!K190</f>
        <v>20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37">
        <f>CALCULO!AW108</f>
        <v>3.260563254</v>
      </c>
      <c r="L29" s="6"/>
      <c r="M29" s="6"/>
      <c r="N29" s="6"/>
      <c r="O29" s="6"/>
      <c r="P29" s="6"/>
      <c r="Q29" s="6"/>
      <c r="R29" s="89"/>
      <c r="S29" s="6"/>
      <c r="T29" s="6"/>
      <c r="U29" s="6"/>
      <c r="V29" s="6"/>
      <c r="W29" s="6"/>
      <c r="X29" s="6"/>
      <c r="Y29" s="89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f>CALCULO!S170</f>
        <v>1</v>
      </c>
      <c r="AC30" s="25" t="s">
        <v>13</v>
      </c>
      <c r="AD30" s="6" t="str">
        <f>CALCULO!U170</f>
        <v>5/8"</v>
      </c>
      <c r="AE30" s="27" t="s">
        <v>14</v>
      </c>
      <c r="AF30" s="89">
        <f>CALCULO!W170</f>
        <v>25</v>
      </c>
      <c r="AG30" s="6"/>
      <c r="AH30" s="6">
        <f>CALCULO!S161</f>
        <v>1</v>
      </c>
      <c r="AI30" s="25" t="s">
        <v>13</v>
      </c>
      <c r="AJ30" s="6" t="str">
        <f>CALCULO!U161</f>
        <v>5/8"</v>
      </c>
      <c r="AK30" s="27" t="s">
        <v>14</v>
      </c>
      <c r="AL30" s="89">
        <f>CALCULO!W161</f>
        <v>25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f>CALCULO!S151</f>
        <v>1</v>
      </c>
      <c r="AI31" s="25" t="s">
        <v>13</v>
      </c>
      <c r="AJ31" s="6" t="str">
        <f>CALCULO!U151</f>
        <v>3/4"</v>
      </c>
      <c r="AK31" s="27" t="s">
        <v>14</v>
      </c>
      <c r="AL31" s="89">
        <f>CALCULO!W151</f>
        <v>20</v>
      </c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N2:S2"/>
    <mergeCell ref="R3:S3"/>
    <mergeCell ref="D5:D14"/>
    <mergeCell ref="B14:B15"/>
    <mergeCell ref="B18:C18"/>
    <mergeCell ref="B19:C19"/>
    <mergeCell ref="A26:E26"/>
    <mergeCell ref="Y3:Z3"/>
    <mergeCell ref="AK3:AL3"/>
    <mergeCell ref="AF14:AF15"/>
    <mergeCell ref="AM17:AO17"/>
    <mergeCell ref="AF18:AG18"/>
    <mergeCell ref="AF19:AG19"/>
    <mergeCell ref="AM21:AO21"/>
    <mergeCell ref="AM26:AO26"/>
    <mergeCell ref="A2:E2"/>
    <mergeCell ref="G2:L2"/>
    <mergeCell ref="U2:Z2"/>
    <mergeCell ref="AB2:AM2"/>
    <mergeCell ref="AQ2:AV2"/>
    <mergeCell ref="D3:E3"/>
    <mergeCell ref="K3:L3"/>
    <mergeCell ref="AU3:AV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1" width="10.75"/>
  </cols>
  <sheetData>
    <row r="1">
      <c r="F1" s="1"/>
      <c r="G1" s="1"/>
      <c r="H1" s="2" t="s">
        <v>0</v>
      </c>
      <c r="I1" s="3">
        <f>B34</f>
        <v>0</v>
      </c>
      <c r="J1" s="1"/>
      <c r="K1" s="1"/>
      <c r="L1" s="4"/>
      <c r="M1" s="4"/>
      <c r="N1" s="4"/>
      <c r="O1" s="4"/>
      <c r="P1" s="4"/>
      <c r="Q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5"/>
      <c r="AT1" s="5" t="str">
        <f>COS(T2-#REF!)</f>
        <v>#REF!</v>
      </c>
      <c r="AU1" s="4"/>
      <c r="AV1" s="4"/>
      <c r="AW1" s="4"/>
      <c r="AX1" s="4"/>
      <c r="AY1" s="4"/>
    </row>
    <row r="2"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7"/>
      <c r="AS2" s="5"/>
      <c r="AT2" s="5" t="str">
        <f>POWER(#REF!*#REF!/(#REF!*AT1),0.5)</f>
        <v>#REF!</v>
      </c>
      <c r="AU2" s="4"/>
      <c r="AV2" s="4"/>
      <c r="AW2" s="4"/>
      <c r="AX2" s="4"/>
      <c r="AY2" s="4"/>
    </row>
    <row r="3">
      <c r="F3" s="1"/>
      <c r="G3" s="1"/>
      <c r="H3" s="8" t="str">
        <f>#REF!</f>
        <v>#REF!</v>
      </c>
      <c r="I3" s="1"/>
      <c r="J3" s="1"/>
      <c r="K3" s="1"/>
      <c r="L3" s="4"/>
      <c r="M3" s="4"/>
      <c r="N3" s="4"/>
      <c r="O3" s="4"/>
      <c r="P3" s="4"/>
      <c r="Q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>
      <c r="F4" s="1"/>
      <c r="G4" s="1"/>
      <c r="H4" s="1"/>
      <c r="I4" s="11" t="str">
        <f>#REF!</f>
        <v>#REF!</v>
      </c>
      <c r="J4" s="1"/>
      <c r="K4" s="1"/>
      <c r="L4" s="4"/>
      <c r="M4" s="4"/>
      <c r="N4" s="4"/>
      <c r="O4" s="4"/>
      <c r="P4" s="4"/>
      <c r="Q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>
      <c r="F5" s="1"/>
      <c r="G5" s="1"/>
      <c r="H5" s="1"/>
      <c r="J5" s="1"/>
      <c r="K5" s="1"/>
      <c r="L5" s="4"/>
      <c r="M5" s="4"/>
      <c r="N5" s="4"/>
      <c r="O5" s="4"/>
      <c r="P5" s="4"/>
      <c r="Q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>
      <c r="F6" s="1"/>
      <c r="G6" s="1"/>
      <c r="H6" s="1"/>
      <c r="J6" s="1"/>
      <c r="K6" s="1"/>
      <c r="L6" s="4"/>
      <c r="M6" s="4"/>
      <c r="N6" s="4"/>
      <c r="O6" s="4"/>
      <c r="P6" s="4"/>
      <c r="Q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>
      <c r="F7" s="1"/>
      <c r="G7" s="1"/>
      <c r="H7" s="1"/>
      <c r="J7" s="1"/>
      <c r="K7" s="1"/>
      <c r="L7" s="4"/>
      <c r="M7" s="4"/>
      <c r="N7" s="4"/>
      <c r="O7" s="4"/>
      <c r="P7" s="4"/>
      <c r="Q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>
      <c r="F8" s="1"/>
      <c r="G8" s="1"/>
      <c r="H8" s="1"/>
      <c r="J8" s="1"/>
      <c r="K8" s="1"/>
      <c r="L8" s="4"/>
      <c r="M8" s="4"/>
      <c r="N8" s="4"/>
      <c r="O8" s="4"/>
      <c r="P8" s="4"/>
      <c r="Q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W8" s="4"/>
      <c r="AX8" s="4"/>
      <c r="AY8" s="4"/>
    </row>
    <row r="9">
      <c r="F9" s="1"/>
      <c r="G9" s="1"/>
      <c r="H9" s="1"/>
      <c r="J9" s="1"/>
      <c r="K9" s="1"/>
      <c r="L9" s="4"/>
      <c r="M9" s="4"/>
      <c r="N9" s="4"/>
      <c r="O9" s="4"/>
      <c r="P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W9" s="4"/>
      <c r="AX9" s="4"/>
      <c r="AY9" s="4"/>
    </row>
    <row r="10">
      <c r="F10" s="1"/>
      <c r="G10" s="1"/>
      <c r="H10" s="1"/>
      <c r="J10" s="1"/>
      <c r="K10" s="1"/>
      <c r="L10" s="4"/>
      <c r="M10" s="4"/>
      <c r="N10" s="4"/>
      <c r="O10" s="4"/>
      <c r="P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W10" s="4"/>
      <c r="AX10" s="4"/>
      <c r="AY10" s="4"/>
    </row>
    <row r="11">
      <c r="F11" s="1" t="str">
        <f>#REF!</f>
        <v>#REF!</v>
      </c>
      <c r="G11" s="1"/>
      <c r="H11" s="1"/>
      <c r="J11" s="1"/>
      <c r="K11" s="1"/>
      <c r="L11" s="4"/>
      <c r="M11" s="4"/>
      <c r="N11" s="4"/>
      <c r="O11" s="4"/>
      <c r="P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W11" s="4"/>
      <c r="AX11" s="4"/>
      <c r="AY11" s="4"/>
    </row>
    <row r="12">
      <c r="F12" s="1"/>
      <c r="G12" s="1"/>
      <c r="H12" s="1"/>
      <c r="J12" s="1"/>
      <c r="K12" s="1"/>
      <c r="L12" s="4"/>
      <c r="M12" s="4"/>
      <c r="N12" s="4"/>
      <c r="O12" s="4"/>
      <c r="P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W12" s="4"/>
      <c r="AX12" s="4"/>
      <c r="AY12" s="4"/>
    </row>
    <row r="13">
      <c r="F13" s="1"/>
      <c r="G13" s="8"/>
      <c r="H13" s="1"/>
      <c r="J13" s="1"/>
      <c r="K13" s="1"/>
      <c r="L13" s="4"/>
      <c r="M13" s="4"/>
      <c r="N13" s="4"/>
      <c r="O13" s="4"/>
      <c r="P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W13" s="4"/>
      <c r="AX13" s="4"/>
      <c r="AY13" s="4"/>
    </row>
    <row r="14">
      <c r="F14" s="1"/>
      <c r="H14" s="1"/>
      <c r="I14" s="1"/>
      <c r="J14" s="1"/>
      <c r="K14" s="1"/>
      <c r="L14" s="4"/>
      <c r="M14" s="4"/>
      <c r="N14" s="4"/>
      <c r="O14" s="4"/>
      <c r="P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W14" s="4"/>
      <c r="AX14" s="4"/>
      <c r="AY14" s="4"/>
    </row>
    <row r="15">
      <c r="F15" s="1"/>
      <c r="G15" s="1"/>
      <c r="H15" s="1"/>
      <c r="I15" s="1"/>
      <c r="J15" s="19" t="str">
        <f>#REF!</f>
        <v>#REF!</v>
      </c>
      <c r="K15" s="19"/>
      <c r="L15" s="4"/>
      <c r="M15" s="4"/>
      <c r="N15" s="4"/>
      <c r="O15" s="4"/>
      <c r="P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>
      <c r="F16" s="1"/>
      <c r="G16" s="1"/>
      <c r="H16" s="1"/>
      <c r="I16" s="1"/>
      <c r="J16" s="1"/>
      <c r="K16" s="1"/>
      <c r="L16" s="4"/>
      <c r="M16" s="4"/>
      <c r="N16" s="4"/>
      <c r="O16" s="4"/>
      <c r="P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 t="str">
        <f>#REF!+J50</f>
        <v>#REF!</v>
      </c>
      <c r="AT16" s="4" t="str">
        <f>#REF!</f>
        <v>#REF!</v>
      </c>
      <c r="AU16" s="4"/>
      <c r="AV16" s="4"/>
      <c r="AW16" s="4"/>
      <c r="AX16" s="4"/>
      <c r="AY16" s="4"/>
    </row>
    <row r="17">
      <c r="F17" s="21" t="str">
        <f t="shared" ref="F17:G17" si="1">#REF!</f>
        <v>#REF!</v>
      </c>
      <c r="G17" s="8" t="str">
        <f t="shared" si="1"/>
        <v>#REF!</v>
      </c>
      <c r="I17" s="19" t="str">
        <f>G18-F17-G17</f>
        <v>#REF!</v>
      </c>
      <c r="J17" s="1"/>
      <c r="K17" s="1"/>
      <c r="L17" s="4"/>
      <c r="M17" s="4"/>
      <c r="N17" s="4"/>
      <c r="O17" s="4"/>
      <c r="P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23" t="s">
        <v>12</v>
      </c>
      <c r="AT17" s="23">
        <v>3.0</v>
      </c>
      <c r="AU17" s="4"/>
      <c r="AV17" s="4"/>
      <c r="AW17" s="4"/>
      <c r="AX17" s="4"/>
      <c r="AY17" s="4"/>
    </row>
    <row r="18">
      <c r="A18" s="4"/>
      <c r="B18" s="4"/>
      <c r="C18" s="4"/>
      <c r="D18" s="4"/>
      <c r="E18" s="4"/>
      <c r="F18" s="4"/>
      <c r="G18" s="8" t="str">
        <f>#REF!</f>
        <v>#REF!</v>
      </c>
      <c r="I18" s="1"/>
      <c r="J18" s="1"/>
      <c r="K18" s="1"/>
      <c r="L18" s="4"/>
      <c r="M18" s="4"/>
      <c r="N18" s="4"/>
      <c r="O18" s="4"/>
      <c r="P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23" t="s">
        <v>15</v>
      </c>
      <c r="AT18" s="23">
        <v>3.0</v>
      </c>
      <c r="AU18" s="4"/>
      <c r="AV18" s="4"/>
      <c r="AW18" s="4"/>
      <c r="AX18" s="4"/>
      <c r="AY18" s="4"/>
    </row>
    <row r="19">
      <c r="A19" s="4"/>
      <c r="B19" s="29" t="s">
        <v>15</v>
      </c>
      <c r="C19" s="4"/>
      <c r="D19" s="4"/>
      <c r="E19" s="4"/>
      <c r="F19" s="1"/>
      <c r="G19" s="1"/>
      <c r="H19" s="1"/>
      <c r="I19" s="1"/>
      <c r="J19" s="1"/>
      <c r="K19" s="1"/>
      <c r="L19" s="4"/>
      <c r="M19" s="4"/>
      <c r="N19" s="4"/>
      <c r="O19" s="4"/>
      <c r="P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</row>
    <row r="20">
      <c r="A20" s="4"/>
      <c r="B20" s="4"/>
      <c r="C20" s="4"/>
      <c r="D20" s="4"/>
      <c r="E20" s="4"/>
      <c r="F20" s="4"/>
      <c r="G20" s="4"/>
      <c r="H20" s="1"/>
      <c r="I20" s="1"/>
      <c r="J20" s="1"/>
      <c r="K20" s="1"/>
      <c r="L20" s="1"/>
      <c r="M20" s="1"/>
      <c r="N20" s="4"/>
      <c r="O20" s="4"/>
      <c r="P20" s="4"/>
      <c r="Q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</row>
    <row r="21" ht="15.75" customHeight="1">
      <c r="A21" s="31"/>
      <c r="B21" s="32"/>
      <c r="C21" s="32"/>
      <c r="D21" s="32"/>
      <c r="E21" s="32"/>
      <c r="F21" s="32"/>
      <c r="G21" s="33"/>
      <c r="H21" s="34"/>
      <c r="I21" s="10"/>
      <c r="J21" s="10"/>
      <c r="K21" s="10"/>
      <c r="L21" s="10"/>
      <c r="M21" s="10"/>
      <c r="N21" s="4"/>
      <c r="O21" s="4"/>
      <c r="P21" s="4"/>
      <c r="Q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ht="15.75" customHeight="1">
      <c r="A22" s="36"/>
      <c r="G22" s="4"/>
      <c r="H22" s="1"/>
      <c r="I22" s="1"/>
      <c r="J22" s="1"/>
      <c r="K22" s="1"/>
      <c r="L22" s="1"/>
      <c r="M22" s="1"/>
      <c r="N22" s="4"/>
      <c r="O22" s="4"/>
      <c r="P22" s="4"/>
      <c r="Q22" s="4"/>
      <c r="R22" s="38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ht="15.75" customHeight="1">
      <c r="A23" s="39"/>
      <c r="B23" s="39"/>
      <c r="C23" s="39"/>
      <c r="D23" s="39"/>
      <c r="E23" s="40"/>
      <c r="F23" s="41"/>
      <c r="G23" s="4"/>
      <c r="H23" s="1"/>
      <c r="I23" s="1"/>
      <c r="J23" s="8"/>
      <c r="K23" s="1"/>
      <c r="L23" s="1"/>
      <c r="M23" s="1"/>
      <c r="N23" s="4"/>
      <c r="O23" s="4"/>
      <c r="P23" s="4"/>
      <c r="Q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ht="15.75" customHeight="1">
      <c r="A24" s="39"/>
      <c r="B24" s="42"/>
      <c r="C24" s="42"/>
      <c r="D24" s="42"/>
      <c r="E24" s="42"/>
      <c r="F24" s="43"/>
      <c r="G24" s="4"/>
      <c r="H24" s="1"/>
      <c r="I24" s="1"/>
      <c r="J24" s="1"/>
      <c r="K24" s="1"/>
      <c r="L24" s="1"/>
      <c r="M24" s="1"/>
      <c r="N24" s="4"/>
      <c r="O24" s="4"/>
      <c r="P24" s="4"/>
      <c r="Q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ht="15.75" customHeight="1">
      <c r="A25" s="39"/>
      <c r="B25" s="42"/>
      <c r="C25" s="42"/>
      <c r="D25" s="42"/>
      <c r="E25" s="42"/>
      <c r="F25" s="43"/>
      <c r="G25" s="4"/>
      <c r="H25" s="1"/>
      <c r="I25" s="1"/>
      <c r="J25" s="1"/>
      <c r="K25" s="1"/>
      <c r="L25" s="1"/>
      <c r="M25" s="1"/>
      <c r="N25" s="4"/>
      <c r="O25" s="4"/>
      <c r="P25" s="4"/>
      <c r="Q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</row>
    <row r="26" ht="15.75" customHeight="1"/>
    <row r="27" ht="15.75" customHeight="1"/>
    <row r="28" ht="15.75" customHeight="1">
      <c r="A28" s="45" t="s">
        <v>17</v>
      </c>
      <c r="B28" s="10"/>
      <c r="C28" s="10"/>
      <c r="D28" s="10"/>
      <c r="E28" s="10"/>
      <c r="G28" s="46" t="s">
        <v>18</v>
      </c>
      <c r="K28" s="46" t="s">
        <v>19</v>
      </c>
      <c r="AH28" s="23" t="s">
        <v>20</v>
      </c>
      <c r="AI28" s="23" t="s">
        <v>21</v>
      </c>
    </row>
    <row r="29" ht="15.75" customHeight="1">
      <c r="A29" s="47" t="s">
        <v>22</v>
      </c>
      <c r="B29" s="48">
        <v>2.4</v>
      </c>
      <c r="C29" s="49" t="s">
        <v>23</v>
      </c>
      <c r="D29" s="4"/>
      <c r="E29" s="4"/>
      <c r="H29" s="23" t="s">
        <v>20</v>
      </c>
      <c r="I29" s="23" t="s">
        <v>21</v>
      </c>
      <c r="K29" s="4" t="s">
        <v>24</v>
      </c>
      <c r="L29" s="51">
        <f>SIN(D39+D31)</f>
        <v>0.9149596678</v>
      </c>
      <c r="M29" s="23" t="s">
        <v>20</v>
      </c>
      <c r="N29" s="23" t="s">
        <v>21</v>
      </c>
    </row>
    <row r="30" ht="15.75" customHeight="1">
      <c r="A30" s="47" t="s">
        <v>25</v>
      </c>
      <c r="B30" s="52">
        <v>2.1</v>
      </c>
      <c r="C30" s="49" t="s">
        <v>23</v>
      </c>
      <c r="D30" s="4"/>
      <c r="E30" s="4"/>
      <c r="G30" s="53" t="s">
        <v>26</v>
      </c>
      <c r="H30" s="54">
        <f>COS(D31)</f>
        <v>0.9149596678</v>
      </c>
      <c r="I30" s="38"/>
      <c r="K30" s="55" t="s">
        <v>27</v>
      </c>
      <c r="L30" s="51">
        <f>SIN(D39-D31)</f>
        <v>0.9149596678</v>
      </c>
      <c r="M30" s="58">
        <f>L34*L35/(L32*L37)</f>
        <v>0.01815006448</v>
      </c>
      <c r="N30" s="58">
        <f>L34*L36/(L33*L37)</f>
        <v>0.3075475479</v>
      </c>
    </row>
    <row r="31" ht="15.75" customHeight="1">
      <c r="A31" s="47" t="s">
        <v>30</v>
      </c>
      <c r="B31" s="59">
        <v>23.8</v>
      </c>
      <c r="C31" s="55" t="s">
        <v>31</v>
      </c>
      <c r="D31" s="60">
        <f>RADIANS(B31)</f>
        <v>0.415388362</v>
      </c>
      <c r="E31" s="49" t="s">
        <v>32</v>
      </c>
      <c r="G31" s="61" t="s">
        <v>33</v>
      </c>
      <c r="H31" s="54">
        <f>COS(D33)</f>
        <v>0.9310558159</v>
      </c>
      <c r="I31" s="38"/>
      <c r="K31" s="4" t="s">
        <v>34</v>
      </c>
      <c r="L31" s="51">
        <f>SIN(D39)</f>
        <v>1</v>
      </c>
      <c r="M31" s="58">
        <f>POWER(POWER(M30,0.5)+1,2)</f>
        <v>1.287594415</v>
      </c>
      <c r="N31" s="58">
        <f>POWER(1-POWER(N30,0.5),2)</f>
        <v>0.1984081556</v>
      </c>
      <c r="AC31" s="45" t="s">
        <v>17</v>
      </c>
      <c r="AD31" s="10"/>
      <c r="AE31" s="10"/>
      <c r="AF31" s="10"/>
      <c r="AG31" s="10"/>
      <c r="AK31" s="68" t="s">
        <v>37</v>
      </c>
      <c r="AL31" s="72">
        <f>D33</f>
        <v>0.3735004599</v>
      </c>
    </row>
    <row r="32" ht="15.75" customHeight="1">
      <c r="A32" s="47" t="s">
        <v>39</v>
      </c>
      <c r="B32" s="52" t="str">
        <f>R13</f>
        <v/>
      </c>
      <c r="C32" s="55"/>
      <c r="D32" s="75"/>
      <c r="E32" s="49"/>
      <c r="G32" s="61" t="s">
        <v>40</v>
      </c>
      <c r="H32" s="54">
        <f t="shared" ref="H32:H33" si="2">H30*H30</f>
        <v>0.8371511938</v>
      </c>
      <c r="I32" s="38"/>
      <c r="K32" s="4" t="s">
        <v>43</v>
      </c>
      <c r="L32" s="51">
        <f>SIN(D39-D40)</f>
        <v>1</v>
      </c>
      <c r="M32" s="58">
        <f>M31*L32*L31*L31</f>
        <v>1.287594415</v>
      </c>
      <c r="N32" s="58">
        <f>N31*L33*L31*L31</f>
        <v>0.1984081556</v>
      </c>
      <c r="AC32" s="47" t="s">
        <v>44</v>
      </c>
      <c r="AD32" s="48">
        <v>2.4</v>
      </c>
      <c r="AE32" s="49" t="s">
        <v>23</v>
      </c>
      <c r="AF32" s="4"/>
      <c r="AG32" s="4"/>
      <c r="AH32" s="58"/>
      <c r="AK32" s="68" t="s">
        <v>45</v>
      </c>
      <c r="AL32" s="72">
        <f>D31</f>
        <v>0.415388362</v>
      </c>
    </row>
    <row r="33" ht="15.75" customHeight="1">
      <c r="A33" s="47" t="s">
        <v>46</v>
      </c>
      <c r="B33" s="7">
        <v>21.4</v>
      </c>
      <c r="C33" s="55" t="s">
        <v>31</v>
      </c>
      <c r="D33" s="60">
        <f>RADIANS(B33)</f>
        <v>0.3735004599</v>
      </c>
      <c r="E33" s="49" t="s">
        <v>32</v>
      </c>
      <c r="G33" s="61" t="s">
        <v>50</v>
      </c>
      <c r="H33" s="54">
        <f t="shared" si="2"/>
        <v>0.8668649323</v>
      </c>
      <c r="I33" s="38"/>
      <c r="K33" s="55" t="s">
        <v>51</v>
      </c>
      <c r="L33" s="51">
        <f>SIN(D39+D40)</f>
        <v>1</v>
      </c>
      <c r="M33" s="79">
        <f>L29*L29/M32</f>
        <v>0.6501668415</v>
      </c>
      <c r="N33" s="79">
        <f>L30*L30/N32</f>
        <v>4.219338623</v>
      </c>
      <c r="AC33" s="47" t="s">
        <v>52</v>
      </c>
      <c r="AD33" s="52">
        <v>2.1</v>
      </c>
      <c r="AE33" s="49" t="s">
        <v>23</v>
      </c>
      <c r="AF33" s="4"/>
      <c r="AG33" s="4"/>
      <c r="AK33" s="68" t="s">
        <v>0</v>
      </c>
      <c r="AL33" s="82">
        <v>0.0</v>
      </c>
    </row>
    <row r="34" ht="15.75" customHeight="1">
      <c r="A34" s="47" t="s">
        <v>0</v>
      </c>
      <c r="B34" s="7">
        <v>0.0</v>
      </c>
      <c r="C34" s="49" t="s">
        <v>48</v>
      </c>
      <c r="D34" s="4"/>
      <c r="E34" s="4"/>
      <c r="G34" s="61">
        <v>1.0</v>
      </c>
      <c r="H34" s="54">
        <f>H31-POWER(H33-H32,0.5)</f>
        <v>0.7586790818</v>
      </c>
      <c r="I34" s="54">
        <f>POWER((H33-H32),0.5)+H31</f>
        <v>1.10343255</v>
      </c>
      <c r="K34" s="4" t="s">
        <v>57</v>
      </c>
      <c r="L34" s="51">
        <f>SIN(D31+D40)</f>
        <v>0.4035452964</v>
      </c>
      <c r="AC34" s="47" t="s">
        <v>58</v>
      </c>
      <c r="AD34" s="52">
        <v>26.0</v>
      </c>
      <c r="AE34" s="55" t="s">
        <v>31</v>
      </c>
      <c r="AF34" s="86">
        <f>RADIANS(AD34)</f>
        <v>0.4537856055</v>
      </c>
      <c r="AG34" s="49" t="s">
        <v>32</v>
      </c>
      <c r="AK34" s="87" t="s">
        <v>59</v>
      </c>
      <c r="AL34" s="87">
        <f>COS(AL31)*(COS(AL31)-((COS(AL31))^2-(COS(AL32))^2)^0.5)/(COS(AL31)+((COS(AL31))^2-(COS(AL32))^2)^0.5)</f>
        <v>0.6401592662</v>
      </c>
    </row>
    <row r="35" ht="15.75" customHeight="1">
      <c r="A35" s="47" t="s">
        <v>63</v>
      </c>
      <c r="B35" s="92">
        <f>B34/B30</f>
        <v>0</v>
      </c>
      <c r="C35" s="4" t="s">
        <v>42</v>
      </c>
      <c r="D35" s="4"/>
      <c r="E35" s="4"/>
      <c r="G35" s="61">
        <v>2.0</v>
      </c>
      <c r="H35" s="54">
        <f>H31+POWER(H33-H32,0.5)</f>
        <v>1.10343255</v>
      </c>
      <c r="I35" s="54">
        <f>H31-POWER(H33-H32,0.5)</f>
        <v>0.7586790818</v>
      </c>
      <c r="K35" s="4" t="s">
        <v>66</v>
      </c>
      <c r="L35" s="51">
        <f>SIN(D31-D33)</f>
        <v>0.04187565373</v>
      </c>
      <c r="AC35" s="47" t="s">
        <v>67</v>
      </c>
      <c r="AD35" s="52">
        <v>0.0</v>
      </c>
      <c r="AE35" s="55"/>
      <c r="AF35" s="95"/>
      <c r="AG35" s="49"/>
      <c r="AK35" s="68" t="s">
        <v>70</v>
      </c>
      <c r="AL35" s="100">
        <f>COS(AL31)*(COS(AL31)+((COS(AL31))^2-(COS(AL32))^2)^0.5)/(COS(AL31)-((COS(AL31))^2-(COS(AL32))^2)^0.5)</f>
        <v>1.354139474</v>
      </c>
    </row>
    <row r="36" ht="15.75" customHeight="1">
      <c r="A36" s="47" t="s">
        <v>75</v>
      </c>
      <c r="B36" s="95">
        <f>H36</f>
        <v>0.6401592662</v>
      </c>
      <c r="C36" s="4"/>
      <c r="D36" s="4"/>
      <c r="E36" s="4"/>
      <c r="H36" s="101">
        <f>H31*H34/H35</f>
        <v>0.6401592662</v>
      </c>
      <c r="I36" s="103">
        <f>H31*I34/I35</f>
        <v>1.354139474</v>
      </c>
      <c r="K36" s="55" t="s">
        <v>79</v>
      </c>
      <c r="L36" s="51">
        <f>SIN(D31+D33)</f>
        <v>0.7095707365</v>
      </c>
      <c r="AC36" s="47" t="s">
        <v>81</v>
      </c>
      <c r="AD36" s="7">
        <v>17.0</v>
      </c>
      <c r="AE36" s="55" t="s">
        <v>31</v>
      </c>
      <c r="AF36" s="86">
        <f>RADIANS(AD36)</f>
        <v>0.2967059728</v>
      </c>
      <c r="AG36" s="49" t="s">
        <v>32</v>
      </c>
    </row>
    <row r="37" ht="15.75" customHeight="1">
      <c r="A37" s="47" t="s">
        <v>84</v>
      </c>
      <c r="B37" s="92">
        <f>I36</f>
        <v>1.354139474</v>
      </c>
      <c r="C37" s="4"/>
      <c r="D37" s="4"/>
      <c r="E37" s="4"/>
      <c r="I37" s="4"/>
      <c r="K37" s="4" t="s">
        <v>86</v>
      </c>
      <c r="L37" s="51">
        <f>SIN(D39-D33)</f>
        <v>0.9310558159</v>
      </c>
      <c r="AC37" s="47" t="s">
        <v>0</v>
      </c>
      <c r="AD37" s="7">
        <v>0.0</v>
      </c>
      <c r="AE37" s="49" t="s">
        <v>48</v>
      </c>
      <c r="AF37" s="4"/>
      <c r="AG37" s="4"/>
      <c r="AH37" s="23">
        <v>1.0</v>
      </c>
      <c r="AI37" s="103" t="str">
        <f>#REF!-POWER(#REF!-#REF!,0.5)</f>
        <v>#REF!</v>
      </c>
      <c r="AJ37" s="103" t="str">
        <f>#REF!+POWER(#REF!-#REF!,0.5)</f>
        <v>#REF!</v>
      </c>
    </row>
    <row r="38" ht="15.75" customHeight="1">
      <c r="E38" s="4"/>
      <c r="I38" s="4"/>
      <c r="AC38" s="47" t="s">
        <v>63</v>
      </c>
      <c r="AD38" s="92">
        <f>AD37/AD33</f>
        <v>0</v>
      </c>
      <c r="AE38" s="4" t="s">
        <v>42</v>
      </c>
      <c r="AF38" s="4"/>
      <c r="AG38" s="4"/>
      <c r="AH38" s="23">
        <v>2.0</v>
      </c>
      <c r="AI38" s="103" t="str">
        <f>#REF!+POWER(#REF!-#REF!,0.5)</f>
        <v>#REF!</v>
      </c>
      <c r="AJ38" s="103" t="str">
        <f>#REF!-POWER(#REF!-#REF!,0.5)</f>
        <v>#REF!</v>
      </c>
    </row>
    <row r="39" ht="15.75" customHeight="1">
      <c r="A39" s="106" t="s">
        <v>91</v>
      </c>
      <c r="B39" s="7">
        <v>90.0</v>
      </c>
      <c r="C39" s="55" t="s">
        <v>31</v>
      </c>
      <c r="D39" s="86">
        <f t="shared" ref="D39:D40" si="4">RADIANS(B39)</f>
        <v>1.570796327</v>
      </c>
      <c r="E39" s="49" t="s">
        <v>32</v>
      </c>
      <c r="F39" s="4"/>
      <c r="G39" s="4"/>
      <c r="H39" s="4"/>
      <c r="I39" s="4"/>
      <c r="AC39" s="47" t="s">
        <v>75</v>
      </c>
      <c r="AD39" s="95" t="str">
        <f>AI39</f>
        <v>#REF!</v>
      </c>
      <c r="AE39" s="4"/>
      <c r="AF39" s="4"/>
      <c r="AG39" s="4"/>
      <c r="AI39" s="101" t="str">
        <f t="shared" ref="AI39:AJ39" si="3">#REF!*AI37/AI38</f>
        <v>#REF!</v>
      </c>
      <c r="AJ39" s="103" t="str">
        <f t="shared" si="3"/>
        <v>#REF!</v>
      </c>
    </row>
    <row r="40" ht="15.75" customHeight="1">
      <c r="A40" s="47" t="s">
        <v>93</v>
      </c>
      <c r="B40" s="109">
        <v>0.0</v>
      </c>
      <c r="C40" s="55" t="s">
        <v>31</v>
      </c>
      <c r="D40" s="86">
        <f t="shared" si="4"/>
        <v>0</v>
      </c>
      <c r="E40" s="49" t="s">
        <v>32</v>
      </c>
      <c r="F40" s="4"/>
      <c r="AC40" s="47" t="s">
        <v>84</v>
      </c>
      <c r="AD40" s="92" t="str">
        <f>AJ39</f>
        <v>#REF!</v>
      </c>
      <c r="AE40" s="4"/>
      <c r="AF40" s="4"/>
      <c r="AG40" s="4"/>
    </row>
    <row r="41" ht="15.75" customHeight="1"/>
    <row r="42" ht="15.75" customHeight="1"/>
    <row r="43" ht="15.75" customHeight="1">
      <c r="E43" s="4"/>
    </row>
    <row r="44" ht="15.75" customHeight="1">
      <c r="E44" s="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A57" s="4"/>
      <c r="B57" s="95"/>
      <c r="C57" s="49"/>
      <c r="D57" s="4"/>
    </row>
    <row r="58" ht="15.75" customHeight="1">
      <c r="A58" s="112"/>
      <c r="B58" s="70"/>
      <c r="C58" s="70"/>
      <c r="D58" s="70"/>
    </row>
    <row r="59" ht="15.75" customHeight="1">
      <c r="A59" s="70"/>
      <c r="B59" s="114"/>
      <c r="C59" s="115"/>
      <c r="D59" s="114"/>
    </row>
    <row r="60" ht="15.75" customHeight="1">
      <c r="A60" s="70"/>
      <c r="B60" s="115"/>
      <c r="C60" s="115"/>
      <c r="D60" s="115"/>
    </row>
    <row r="61" ht="15.75" customHeight="1">
      <c r="A61" s="70"/>
      <c r="B61" s="115"/>
      <c r="C61" s="115"/>
      <c r="D61" s="115"/>
    </row>
    <row r="62" ht="15.75" customHeight="1">
      <c r="A62" s="70"/>
      <c r="B62" s="115"/>
      <c r="C62" s="115"/>
      <c r="D62" s="115"/>
    </row>
    <row r="63" ht="15.75" customHeight="1">
      <c r="A63" s="70"/>
      <c r="B63" s="115"/>
      <c r="C63" s="115"/>
      <c r="D63" s="115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8:E28"/>
    <mergeCell ref="G28:I28"/>
    <mergeCell ref="K28:N28"/>
    <mergeCell ref="AC31:AG31"/>
    <mergeCell ref="I4:I13"/>
    <mergeCell ref="G13:G14"/>
    <mergeCell ref="G17:H17"/>
    <mergeCell ref="G18:H18"/>
    <mergeCell ref="H21:M21"/>
    <mergeCell ref="A22:F22"/>
    <mergeCell ref="R22:W22"/>
  </mergeCells>
  <dataValidations>
    <dataValidation type="list" allowBlank="1" showErrorMessage="1" sqref="AR2 B19">
      <formula1>$AS$67:$AS$68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2015-02-26T14:48:51Z</dcterms:created>
  <dc:creator>user</dc:creator>
</cp:coreProperties>
</file>